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ruu\Desktop\"/>
    </mc:Choice>
  </mc:AlternateContent>
  <xr:revisionPtr revIDLastSave="0" documentId="13_ncr:20001_{092D239A-7614-4E7C-99D7-DCEB92A12F24}" xr6:coauthVersionLast="47" xr6:coauthVersionMax="47" xr10:uidLastSave="{00000000-0000-0000-0000-000000000000}"/>
  <bookViews>
    <workbookView minimized="1" xWindow="2820" yWindow="2820" windowWidth="17280" windowHeight="8880" activeTab="2" xr2:uid="{00000000-000D-0000-FFFF-FFFF00000000}"/>
  </bookViews>
  <sheets>
    <sheet name="Read Me" sheetId="1" r:id="rId1"/>
    <sheet name="Categories" sheetId="2" r:id="rId2"/>
    <sheet name="Product Checklist" sheetId="3" r:id="rId3"/>
    <sheet name="Solution Checklist" sheetId="4" r:id="rId4"/>
    <sheet name="Product Types" sheetId="5" r:id="rId5"/>
    <sheet name="Solution Types" sheetId="6" r:id="rId6"/>
    <sheet name="JSON Export Map" sheetId="7" r:id="rId7"/>
  </sheets>
  <calcPr calcId="191029"/>
  <fileRecoveryPr repairLoad="1"/>
</workbook>
</file>

<file path=xl/calcChain.xml><?xml version="1.0" encoding="utf-8"?>
<calcChain xmlns="http://schemas.openxmlformats.org/spreadsheetml/2006/main">
  <c r="C49" i="4" l="1"/>
  <c r="C48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G8" i="4"/>
  <c r="G9" i="4" s="1"/>
  <c r="G6" i="4"/>
  <c r="G5" i="4"/>
  <c r="G7" i="4" s="1"/>
  <c r="C56" i="3"/>
  <c r="C55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G8" i="3"/>
  <c r="G9" i="3" s="1"/>
  <c r="G6" i="3"/>
  <c r="G5" i="3"/>
  <c r="G7" i="3" s="1"/>
</calcChain>
</file>

<file path=xl/sharedStrings.xml><?xml version="1.0" encoding="utf-8"?>
<sst xmlns="http://schemas.openxmlformats.org/spreadsheetml/2006/main" count="935" uniqueCount="545">
  <si>
    <t>CIO Verified Checklist Workbook – v2</t>
  </si>
  <si>
    <t>Use this workbook as the backend checklist structure for your React.js application.</t>
  </si>
  <si>
    <t>Sheets included</t>
  </si>
  <si>
    <t>Purpose</t>
  </si>
  <si>
    <t>Notes</t>
  </si>
  <si>
    <t>Read Me</t>
  </si>
  <si>
    <t>Instructions and version notes</t>
  </si>
  <si>
    <t>Updated with v2 structure</t>
  </si>
  <si>
    <t>Categories</t>
  </si>
  <si>
    <t>High-level category mapping</t>
  </si>
  <si>
    <t>Use for scope selection</t>
  </si>
  <si>
    <t>Product Checklist</t>
  </si>
  <si>
    <t>100-mark checklist for software products</t>
  </si>
  <si>
    <t>Use for ERP / CRM / SaaS / security / AI / data platforms</t>
  </si>
  <si>
    <t>Solution Checklist</t>
  </si>
  <si>
    <t>100-mark checklist for service / implementation companies</t>
  </si>
  <si>
    <t>Use for partners, integrators, MSPs, ISO auditors, ITES</t>
  </si>
  <si>
    <t>Product Types</t>
  </si>
  <si>
    <t>Detailed product subcategories</t>
  </si>
  <si>
    <t>Use in app dropdowns</t>
  </si>
  <si>
    <t>Solution Types</t>
  </si>
  <si>
    <t>Detailed solution / service subcategories</t>
  </si>
  <si>
    <t>JSON Export Map</t>
  </si>
  <si>
    <t>Field schema for app integration</t>
  </si>
  <si>
    <t>JSON-friendly key naming</t>
  </si>
  <si>
    <t>Key scoring logic</t>
  </si>
  <si>
    <t>Rule</t>
  </si>
  <si>
    <t>Meaning</t>
  </si>
  <si>
    <t>Critical failure</t>
  </si>
  <si>
    <t>Any critical criterion scored 0</t>
  </si>
  <si>
    <t>Rejected - Critical Failure</t>
  </si>
  <si>
    <t>Below 30</t>
  </si>
  <si>
    <t>Rejected</t>
  </si>
  <si>
    <t>Assessment completed but rejected</t>
  </si>
  <si>
    <t>30 to 64</t>
  </si>
  <si>
    <t>Verification Done - Certification Not Granted</t>
  </si>
  <si>
    <t>Report can be shared internally; no badge/certificate</t>
  </si>
  <si>
    <t>65 to 74</t>
  </si>
  <si>
    <t>Conditional</t>
  </si>
  <si>
    <t>Improvement required before final certification</t>
  </si>
  <si>
    <t>75 to 84</t>
  </si>
  <si>
    <t>Certified</t>
  </si>
  <si>
    <t>Meets CIO Verified baseline</t>
  </si>
  <si>
    <t>85 to 94</t>
  </si>
  <si>
    <t>Gold Verified</t>
  </si>
  <si>
    <t>Strong and credible</t>
  </si>
  <si>
    <t>95 to 100</t>
  </si>
  <si>
    <t>Platinum Verified</t>
  </si>
  <si>
    <t>Top tier, should remain rare</t>
  </si>
  <si>
    <t>Important</t>
  </si>
  <si>
    <t>If a company falls into multiple categories, run separate assessments by scope.</t>
  </si>
  <si>
    <t>Example: Product + Implementation Partner</t>
  </si>
  <si>
    <t>Category Mapping &amp; Scope Guidance</t>
  </si>
  <si>
    <t>Use these categories to choose the right checklist and evaluation scope.</t>
  </si>
  <si>
    <t>Product Categories</t>
  </si>
  <si>
    <t>Use this for</t>
  </si>
  <si>
    <t>Examples</t>
  </si>
  <si>
    <t>Solution Categories</t>
  </si>
  <si>
    <t>ERP / Core Business Platform</t>
  </si>
  <si>
    <t>Core business platforms</t>
  </si>
  <si>
    <t>ERP, SAP Business One, Microsoft Dynamics, industry ERP</t>
  </si>
  <si>
    <t>ERP / CRM Implementation Partner</t>
  </si>
  <si>
    <t>Implementation and rollout services</t>
  </si>
  <si>
    <t>ERP / CRM partners, delivery firms</t>
  </si>
  <si>
    <t>CRM / Sales Platform</t>
  </si>
  <si>
    <t>Sales / customer platforms</t>
  </si>
  <si>
    <t>CRM, CPQ, lead management</t>
  </si>
  <si>
    <t>System Integrator</t>
  </si>
  <si>
    <t>Multi-system implementation</t>
  </si>
  <si>
    <t>System integrators, transformation firms</t>
  </si>
  <si>
    <t>HRMS / Payroll Platform</t>
  </si>
  <si>
    <t>HR and people systems</t>
  </si>
  <si>
    <t>HRMS, attendance, payroll</t>
  </si>
  <si>
    <t>Managed Service Provider</t>
  </si>
  <si>
    <t>Operations and managed support</t>
  </si>
  <si>
    <t>Managed services, infra / application operations</t>
  </si>
  <si>
    <t>Accounting / Finance Platform</t>
  </si>
  <si>
    <t>Finance platforms</t>
  </si>
  <si>
    <t>Accounting, AP/AR, expense tools</t>
  </si>
  <si>
    <t>ITES / IT Consulting Firm</t>
  </si>
  <si>
    <t>IT / business process services</t>
  </si>
  <si>
    <t>ITES, consulting, managed support firms</t>
  </si>
  <si>
    <t>Operational SaaS</t>
  </si>
  <si>
    <t>Helpdesk, workflow, project, collaboration</t>
  </si>
  <si>
    <t>ISO 27001 / Compliance &amp; Security Auditor</t>
  </si>
  <si>
    <t>Audit / compliance-led services</t>
  </si>
  <si>
    <t>ISO 27001 auditors, security assessment firms</t>
  </si>
  <si>
    <t>Security Platform</t>
  </si>
  <si>
    <t>Security platforms</t>
  </si>
  <si>
    <t>Endpoint security, IAM, SIEM</t>
  </si>
  <si>
    <t>Support / AMS / Managed Operations Partner</t>
  </si>
  <si>
    <t>Application management services</t>
  </si>
  <si>
    <t>AMS, support and hypercare firms</t>
  </si>
  <si>
    <t>Integration / Data Platform</t>
  </si>
  <si>
    <t>iPaaS, ETL, API management, data platforms</t>
  </si>
  <si>
    <t>AI / Automation Platform</t>
  </si>
  <si>
    <t>AI copilots, automation suites, process AI</t>
  </si>
  <si>
    <t>Industry-specific / Vertical App</t>
  </si>
  <si>
    <t>Vertical software</t>
  </si>
  <si>
    <t>Healthcare, manufacturing, logistics niche apps</t>
  </si>
  <si>
    <t>Scope rule</t>
  </si>
  <si>
    <t>How to handle it</t>
  </si>
  <si>
    <t>One firm in multiple categories</t>
  </si>
  <si>
    <t>Run separate assessments by scope (example: Product + Solution).</t>
  </si>
  <si>
    <t>One product in multiple sub-categories</t>
  </si>
  <si>
    <t>Choose the primary category and note secondary applicability in the report.</t>
  </si>
  <si>
    <t>Implementation partner with ISO auditors</t>
  </si>
  <si>
    <t>Use Solution Checklist and score both delivery capability and compliance capability.</t>
  </si>
  <si>
    <t>CIO Verified – Product Evaluation Checklist (100 Marks)</t>
  </si>
  <si>
    <t>For software products: ERP, CRM, SaaS, security platforms, integration tools, AI platforms, and vertical software.</t>
  </si>
  <si>
    <t>Company / Firm Name</t>
  </si>
  <si>
    <t>Summary</t>
  </si>
  <si>
    <t>Assessment Type</t>
  </si>
  <si>
    <t>Product</t>
  </si>
  <si>
    <t>Max Score</t>
  </si>
  <si>
    <t>Primary Category</t>
  </si>
  <si>
    <t>Awarded Score</t>
  </si>
  <si>
    <t>Subcategory</t>
  </si>
  <si>
    <t>Score %</t>
  </si>
  <si>
    <t>Assessor</t>
  </si>
  <si>
    <t>Critical Zero Count</t>
  </si>
  <si>
    <t>Assessment Date</t>
  </si>
  <si>
    <t>Outcome</t>
  </si>
  <si>
    <t>Version / Reference</t>
  </si>
  <si>
    <t>v2.0</t>
  </si>
  <si>
    <t>Change thresholds only via policy.</t>
  </si>
  <si>
    <t>Section ID</t>
  </si>
  <si>
    <t>Pillar</t>
  </si>
  <si>
    <t>Criterion</t>
  </si>
  <si>
    <t>Description / What to look for</t>
  </si>
  <si>
    <t>Max Points</t>
  </si>
  <si>
    <t>Critical?</t>
  </si>
  <si>
    <t>Applicability</t>
  </si>
  <si>
    <t>Remarks</t>
  </si>
  <si>
    <t>Gap</t>
  </si>
  <si>
    <t>Evidence Ref / Link</t>
  </si>
  <si>
    <t>JSON Key</t>
  </si>
  <si>
    <t>P1</t>
  </si>
  <si>
    <t>Product Maturity &amp; Architecture</t>
  </si>
  <si>
    <t>Architecture &amp; design documentation</t>
  </si>
  <si>
    <t>Documented architecture, components, dependencies, and deployment model are clearly available.</t>
  </si>
  <si>
    <t>Yes</t>
  </si>
  <si>
    <t>All product categories</t>
  </si>
  <si>
    <t>p1_architecture_design_documentation</t>
  </si>
  <si>
    <t>Modern and supported technology stack</t>
  </si>
  <si>
    <t>Underlying stack is current, maintainable, and supported; no major obsolete dependencies.</t>
  </si>
  <si>
    <t>p1_modern_and_supported_technology_stack</t>
  </si>
  <si>
    <t>Scalability and performance readiness</t>
  </si>
  <si>
    <t>Product can scale for SME / mid-market load with acceptable performance benchmarks.</t>
  </si>
  <si>
    <t>p1_scalability_and_performance_readiness</t>
  </si>
  <si>
    <t>API and integration readiness</t>
  </si>
  <si>
    <t>APIs, webhooks, connectors, and integration standards are available and documented.</t>
  </si>
  <si>
    <t>ERP, CRM, HRMS, Accounting, Operational SaaS, Integration / Data, AI</t>
  </si>
  <si>
    <t>p1_api_and_integration_readiness</t>
  </si>
  <si>
    <t>Release management and upgrade path</t>
  </si>
  <si>
    <t>Versioning, patching, backward compatibility, and upgrade approach are defined.</t>
  </si>
  <si>
    <t>No</t>
  </si>
  <si>
    <t>p1_release_management_and_upgrade_path</t>
  </si>
  <si>
    <t>Product roadmap clarity</t>
  </si>
  <si>
    <t>12–24 month roadmap and enhancement direction are visible and realistic.</t>
  </si>
  <si>
    <t>p1_product_roadmap_clarity</t>
  </si>
  <si>
    <t>P2</t>
  </si>
  <si>
    <t>Security &amp; Compliance</t>
  </si>
  <si>
    <t>Authentication and access control</t>
  </si>
  <si>
    <t>Role-based access, MFA / SSO capability, password policies, and admin controls are in place.</t>
  </si>
  <si>
    <t>p2_authentication_and_access_control</t>
  </si>
  <si>
    <t>Data encryption at rest and in transit</t>
  </si>
  <si>
    <t>Product protects data using standard encryption controls and secure transport.</t>
  </si>
  <si>
    <t>p2_data_encryption_at_rest_and_in_transit</t>
  </si>
  <si>
    <t>Backup, recovery, and business continuity</t>
  </si>
  <si>
    <t>Backup frequency, restore testing, RPO/RTO expectations, and continuity plan exist.</t>
  </si>
  <si>
    <t>p2_backup_recovery_and_business_continuity</t>
  </si>
  <si>
    <t>Vulnerability management and patching</t>
  </si>
  <si>
    <t>Regular security testing, patch cadence, dependency updates, and remediation tracking exist.</t>
  </si>
  <si>
    <t>p2_vulnerability_management_and_patching</t>
  </si>
  <si>
    <t>Compliance / security certifications</t>
  </si>
  <si>
    <t>Relevant certifications, audits, or control frameworks are evidenced where applicable.</t>
  </si>
  <si>
    <t>Security, Finance, HR, Data, regulated categories</t>
  </si>
  <si>
    <t>p2_compliance_security_certifications</t>
  </si>
  <si>
    <t>Incident response readiness</t>
  </si>
  <si>
    <t>Incident reporting, escalation, containment, and customer notification procedures exist.</t>
  </si>
  <si>
    <t>p2_incident_response_readiness</t>
  </si>
  <si>
    <t>P3</t>
  </si>
  <si>
    <t>Functional Depth &amp; Use-case Fit</t>
  </si>
  <si>
    <t>Core feature completeness</t>
  </si>
  <si>
    <t>Core functional scope meets the claimed category use case without major gaps.</t>
  </si>
  <si>
    <t>p3_core_feature_completeness</t>
  </si>
  <si>
    <t>Industry / process fit</t>
  </si>
  <si>
    <t>The product supports the target process or industry with credible fit and references.</t>
  </si>
  <si>
    <t>p3_industry_process_fit</t>
  </si>
  <si>
    <t>Reporting and analytics capability</t>
  </si>
  <si>
    <t>Dashboards, reports, KPIs, exports, and decision support are practical and usable.</t>
  </si>
  <si>
    <t>ERP, CRM, HRMS, Accounting, Operational SaaS, AI</t>
  </si>
  <si>
    <t>p3_reporting_and_analytics_capability</t>
  </si>
  <si>
    <t>Configurability and customization</t>
  </si>
  <si>
    <t>Configuration flexibility exists without excessive code dependency for normal use.</t>
  </si>
  <si>
    <t>ERP, CRM, HRMS, Accounting, Operational SaaS</t>
  </si>
  <si>
    <t>p3_configurability_and_customization</t>
  </si>
  <si>
    <t>Workflow / automation capability</t>
  </si>
  <si>
    <t>Approvals, triggers, notifications, or automation rules are supported effectively.</t>
  </si>
  <si>
    <t>ERP, CRM, Operational SaaS, AI, Integration / Data</t>
  </si>
  <si>
    <t>p3_workflow_automation_capability</t>
  </si>
  <si>
    <t>Usability and adoption readiness</t>
  </si>
  <si>
    <t>User experience, navigation, help content, and onboarding flow support adoption.</t>
  </si>
  <si>
    <t>p3_usability_and_adoption_readiness</t>
  </si>
  <si>
    <t>P4</t>
  </si>
  <si>
    <t>Implementation Readiness</t>
  </si>
  <si>
    <t>Implementation / deployment documentation</t>
  </si>
  <si>
    <t>Implementation guides, technical notes, and configuration references are available.</t>
  </si>
  <si>
    <t>p4_implementation_deployment_documentation</t>
  </si>
  <si>
    <t>Training and onboarding materials</t>
  </si>
  <si>
    <t>User manuals, admin guides, videos, and training packs exist.</t>
  </si>
  <si>
    <t>p4_training_and_onboarding_materials</t>
  </si>
  <si>
    <t>Migration / import tools</t>
  </si>
  <si>
    <t>Data import templates, migration utilities, or conversion support are available.</t>
  </si>
  <si>
    <t>ERP, CRM, HRMS, Accounting</t>
  </si>
  <si>
    <t>p4_migration_import_tools</t>
  </si>
  <si>
    <t>Sandbox / demo environment</t>
  </si>
  <si>
    <t>Evaluation sandbox, test tenant, or demo environment is available and usable.</t>
  </si>
  <si>
    <t>p4_sandbox_demo_environment</t>
  </si>
  <si>
    <t>Partner enablement readiness</t>
  </si>
  <si>
    <t>Implementation partners or delivery teams have enablement assets and process guidance.</t>
  </si>
  <si>
    <t>ERP, CRM, Operational SaaS, Security</t>
  </si>
  <si>
    <t>p4_partner_enablement_readiness</t>
  </si>
  <si>
    <t>P5</t>
  </si>
  <si>
    <t>Support &amp; Customer Success</t>
  </si>
  <si>
    <t>Support SLA and support channels</t>
  </si>
  <si>
    <t>Ticketing, channels, availability windows, response commitments, and ownership are defined.</t>
  </si>
  <si>
    <t>p5_support_sla_and_support_channels</t>
  </si>
  <si>
    <t>Customer onboarding / success plan</t>
  </si>
  <si>
    <t>Structured onboarding and customer success checkpoints exist.</t>
  </si>
  <si>
    <t>p5_customer_onboarding_success_plan</t>
  </si>
  <si>
    <t>Ticket resolution and escalation</t>
  </si>
  <si>
    <t>Escalation matrix, severity definitions, and resolution path are operational.</t>
  </si>
  <si>
    <t>p5_ticket_resolution_and_escalation</t>
  </si>
  <si>
    <t>Knowledge base / self-service capability</t>
  </si>
  <si>
    <t>FAQs, release notes, knowledge base, and self-help resources are accessible.</t>
  </si>
  <si>
    <t>p5_knowledge_base_self_service_capability</t>
  </si>
  <si>
    <t>Customer references and satisfaction evidence</t>
  </si>
  <si>
    <t>Referenceable customers, testimonials, or retention evidence are available.</t>
  </si>
  <si>
    <t>p5_customer_references_and_satisfaction_evidence</t>
  </si>
  <si>
    <t>P6</t>
  </si>
  <si>
    <t>Vendor Governance &amp; Stability</t>
  </si>
  <si>
    <t>Company stability and leadership credibility</t>
  </si>
  <si>
    <t>Leadership continuity, ownership clarity, and organization stability are evident.</t>
  </si>
  <si>
    <t>p6_company_stability_and_leadership_credibility</t>
  </si>
  <si>
    <t>Delivery governance and internal controls</t>
  </si>
  <si>
    <t>Delivery governance, review discipline, and internal controls are in place.</t>
  </si>
  <si>
    <t>p6_delivery_governance_and_internal_controls</t>
  </si>
  <si>
    <t>Product ownership and roadmap governance</t>
  </si>
  <si>
    <t>Clear ownership of product vision, backlog, roadmap, and release decisions exists.</t>
  </si>
  <si>
    <t>p6_product_ownership_and_roadmap_governance</t>
  </si>
  <si>
    <t>Commercial transparency</t>
  </si>
  <si>
    <t>Licensing, pricing logic, change charges, and commercial assumptions are transparent.</t>
  </si>
  <si>
    <t>p6_commercial_transparency</t>
  </si>
  <si>
    <t>Installed base and referenceability</t>
  </si>
  <si>
    <t>Meaningful client base and references exist for the claimed market.</t>
  </si>
  <si>
    <t>p6_installed_base_and_referenceability</t>
  </si>
  <si>
    <t>P7</t>
  </si>
  <si>
    <t>Business Value &amp; ROI</t>
  </si>
  <si>
    <t>Time-to-value</t>
  </si>
  <si>
    <t>Typical time to realize business value is acceptable for SME clients.</t>
  </si>
  <si>
    <t>p7_time_to_value</t>
  </si>
  <si>
    <t>Cost transparency / TCO clarity</t>
  </si>
  <si>
    <t>Ownership cost and recurring commercial impact are transparent and defensible.</t>
  </si>
  <si>
    <t>p7_cost_transparency_tco_clarity</t>
  </si>
  <si>
    <t>Measurable business outcomes</t>
  </si>
  <si>
    <t>The solution has evidence of savings, control, productivity, or revenue impact.</t>
  </si>
  <si>
    <t>p7_measurable_business_outcomes</t>
  </si>
  <si>
    <t>Differentiation and market relevance</t>
  </si>
  <si>
    <t>The product stands out on fit, innovation, or execution relevance for the target market.</t>
  </si>
  <si>
    <t>p7_differentiation_and_market_relevance</t>
  </si>
  <si>
    <t>P8</t>
  </si>
  <si>
    <t>Category-specific Fit</t>
  </si>
  <si>
    <t>Category use-case alignment</t>
  </si>
  <si>
    <t>Product fits the selected software category and clearly serves that use case.</t>
  </si>
  <si>
    <t>p8_category_use_case_alignment</t>
  </si>
  <si>
    <t>Category ecosystem relevance</t>
  </si>
  <si>
    <t>Relevant integrations, marketplace presence, or partner ecosystem fit are demonstrated.</t>
  </si>
  <si>
    <t>ERP, CRM, Operational SaaS, Security, Integration / Data</t>
  </si>
  <si>
    <t>p8_category_ecosystem_relevance</t>
  </si>
  <si>
    <t>Localization / regulatory fit</t>
  </si>
  <si>
    <t>Local tax, payroll, statutory, language, or region-specific requirements are addressed where relevant.</t>
  </si>
  <si>
    <t>ERP, HRMS, Accounting, regulated domains</t>
  </si>
  <si>
    <t>p8_localization_regulatory_fit</t>
  </si>
  <si>
    <t>none_none</t>
  </si>
  <si>
    <t>Pillar total check</t>
  </si>
  <si>
    <t>Expected</t>
  </si>
  <si>
    <t>100</t>
  </si>
  <si>
    <t>pillar_total_check_100</t>
  </si>
  <si>
    <t>Entered total formula</t>
  </si>
  <si>
    <t>entered_total_formula_100</t>
  </si>
  <si>
    <t>Awarded score formula</t>
  </si>
  <si>
    <t>awarded_score_formula_0</t>
  </si>
  <si>
    <t>CIO Verified – Solution / Service Evaluation Checklist (100 Marks)</t>
  </si>
  <si>
    <t>For implementation partners, system integrators, managed services, ITES firms, and ISO / compliance auditors.</t>
  </si>
  <si>
    <t>Solution / Service</t>
  </si>
  <si>
    <t>S1</t>
  </si>
  <si>
    <t>Delivery &amp; Implementation Methodology</t>
  </si>
  <si>
    <t>Documented delivery methodology</t>
  </si>
  <si>
    <t>The firm uses a defined methodology with phases, deliverables, and control points.</t>
  </si>
  <si>
    <t>All solution categories</t>
  </si>
  <si>
    <t>s1_documented_delivery_methodology</t>
  </si>
  <si>
    <t>Project governance and milestone control</t>
  </si>
  <si>
    <t>Project governance, steering, milestone reviews, and issue escalation are formalized.</t>
  </si>
  <si>
    <t>s1_project_governance_and_milestone_control</t>
  </si>
  <si>
    <t>Risk and issue management</t>
  </si>
  <si>
    <t>Risk logs, issue escalation, mitigation, and dependency management are practiced.</t>
  </si>
  <si>
    <t>s1_risk_and_issue_management</t>
  </si>
  <si>
    <t>Change management and training approach</t>
  </si>
  <si>
    <t>Change control, training, adoption, and stakeholder readiness are managed.</t>
  </si>
  <si>
    <t>Implementation Partner, System Integrator, ITES</t>
  </si>
  <si>
    <t>s1_change_management_and_training_approach</t>
  </si>
  <si>
    <t>Documentation standards</t>
  </si>
  <si>
    <t>Functional, technical, support, and project documentation is consistent and auditable.</t>
  </si>
  <si>
    <t>s1_documentation_standards</t>
  </si>
  <si>
    <t>Cutover / go-live readiness discipline</t>
  </si>
  <si>
    <t>Go-live checklist, rollback, hypercare, and transition readiness are structured.</t>
  </si>
  <si>
    <t>Implementation Partner, System Integrator, Managed Services</t>
  </si>
  <si>
    <t>s1_cutover_go_live_readiness_discipline</t>
  </si>
  <si>
    <t>S2</t>
  </si>
  <si>
    <t>Functional &amp; Technical Expertise</t>
  </si>
  <si>
    <t>Certified / trained consultants</t>
  </si>
  <si>
    <t>Consultants have product, domain, or compliance credentials relevant to the service scope.</t>
  </si>
  <si>
    <t>s2_certified_trained_consultants</t>
  </si>
  <si>
    <t>Solution and domain expertise</t>
  </si>
  <si>
    <t>The team understands business process, industry context, and practical client needs.</t>
  </si>
  <si>
    <t>s2_solution_and_domain_expertise</t>
  </si>
  <si>
    <t>Architecture and integration capability</t>
  </si>
  <si>
    <t>The firm can handle interfaces, data flow, and technical architecture issues credibly.</t>
  </si>
  <si>
    <t>Implementation Partner, System Integrator, IT Consulting</t>
  </si>
  <si>
    <t>s2_architecture_and_integration_capability</t>
  </si>
  <si>
    <t>Data migration / transition capability</t>
  </si>
  <si>
    <t>The firm can manage data migration, data quality, and transition risks.</t>
  </si>
  <si>
    <t>Implementation Partner, System Integrator</t>
  </si>
  <si>
    <t>s2_data_migration_transition_capability</t>
  </si>
  <si>
    <t>Security / compliance awareness</t>
  </si>
  <si>
    <t>The team understands confidentiality, audit, compliance, and secure handling obligations.</t>
  </si>
  <si>
    <t>s2_security_compliance_awareness</t>
  </si>
  <si>
    <t>S3</t>
  </si>
  <si>
    <t>Delivery Track Record</t>
  </si>
  <si>
    <t>Successful implementation / engagement track record</t>
  </si>
  <si>
    <t>Completed delivery examples are credible and relevant to the claimed category.</t>
  </si>
  <si>
    <t>s3_successful_implementation_engagement_track_record</t>
  </si>
  <si>
    <t>Industry-specific case studies</t>
  </si>
  <si>
    <t>The firm has references and case studies in target industries or process areas.</t>
  </si>
  <si>
    <t>s3_industry_specific_case_studies</t>
  </si>
  <si>
    <t>Client references</t>
  </si>
  <si>
    <t>Referenceable clients are available and speak to quality, governance, and outcomes.</t>
  </si>
  <si>
    <t>s3_client_references</t>
  </si>
  <si>
    <t>Multi-size / multi-location delivery capability</t>
  </si>
  <si>
    <t>The firm can handle different client sizes, distributed teams, or multi-site delivery where required.</t>
  </si>
  <si>
    <t>s3_multi_size_multi_location_delivery_capability</t>
  </si>
  <si>
    <t>Accelerators / reusable templates</t>
  </si>
  <si>
    <t>Templates, tools, audit packs, or reusable accelerators improve delivery quality and speed.</t>
  </si>
  <si>
    <t>s3_accelerators_reusable_templates</t>
  </si>
  <si>
    <t>S4</t>
  </si>
  <si>
    <t>Support &amp; Managed Services</t>
  </si>
  <si>
    <t>Post go-live support structure</t>
  </si>
  <si>
    <t>Support model, roles, shifts, ownership, and transition support are available.</t>
  </si>
  <si>
    <t>Implementation Partner, Managed Services, Support / AMS</t>
  </si>
  <si>
    <t>s4_post_go_live_support_structure</t>
  </si>
  <si>
    <t>SLA and service desk maturity</t>
  </si>
  <si>
    <t>SLAs, service desk tools, severity handling, and reporting are defined.</t>
  </si>
  <si>
    <t>Managed Services, Support / AMS, ITES</t>
  </si>
  <si>
    <t>s4_sla_and_service_desk_maturity</t>
  </si>
  <si>
    <t>Escalation matrix and governance</t>
  </si>
  <si>
    <t>Escalation matrix, review cadence, and unresolved issue governance are in place.</t>
  </si>
  <si>
    <t>s4_escalation_matrix_and_governance</t>
  </si>
  <si>
    <t>Knowledge transfer and handover quality</t>
  </si>
  <si>
    <t>The firm documents and transfers ownership effectively at closure or transition.</t>
  </si>
  <si>
    <t>s4_knowledge_transfer_and_handover_quality</t>
  </si>
  <si>
    <t>S5</t>
  </si>
  <si>
    <t>Governance, Quality &amp; Compliance</t>
  </si>
  <si>
    <t>QA / testing discipline</t>
  </si>
  <si>
    <t>Quality reviews, peer reviews, test discipline, and defect closure are practiced.</t>
  </si>
  <si>
    <t>s5_qa_testing_discipline</t>
  </si>
  <si>
    <t>Data protection and confidentiality controls</t>
  </si>
  <si>
    <t>Confidentiality, privileged access, and client data handling controls are established.</t>
  </si>
  <si>
    <t>s5_data_protection_and_confidentiality_controls</t>
  </si>
  <si>
    <t>Contracting and transparency</t>
  </si>
  <si>
    <t>Contracts, scope statements, assumptions, and responsibilities are transparent.</t>
  </si>
  <si>
    <t>s5_contracting_and_transparency</t>
  </si>
  <si>
    <t>Internal review / audit process</t>
  </si>
  <si>
    <t>Internal audits, management reviews, or delivery reviews are evidenced.</t>
  </si>
  <si>
    <t>s5_internal_review_audit_process</t>
  </si>
  <si>
    <t>Compliance credentials (ISO 27001, etc.)</t>
  </si>
  <si>
    <t>Relevant certifications / auditor credentials are valid and applicable.</t>
  </si>
  <si>
    <t>Security Auditor, Managed Services, ITES, regulated services</t>
  </si>
  <si>
    <t>s5_compliance_credentials_iso_27001_etc</t>
  </si>
  <si>
    <t>S6</t>
  </si>
  <si>
    <t>Commercial &amp; Customer Trust</t>
  </si>
  <si>
    <t>Pricing transparency</t>
  </si>
  <si>
    <t>Pricing logic, assumptions, rate cards, and exclusions are clearly represented.</t>
  </si>
  <si>
    <t>s6_pricing_transparency</t>
  </si>
  <si>
    <t>Scope and change control discipline</t>
  </si>
  <si>
    <t>Scope change is controlled with commercial and delivery governance discipline.</t>
  </si>
  <si>
    <t>s6_scope_and_change_control_discipline</t>
  </si>
  <si>
    <t>Stakeholder communication</t>
  </si>
  <si>
    <t>Client communication cadence, reporting, and steering engagement are consistent.</t>
  </si>
  <si>
    <t>s6_stakeholder_communication</t>
  </si>
  <si>
    <t>Client retention / repeat business</t>
  </si>
  <si>
    <t>Repeat business, renewals, or long-term client relationships are evidenced.</t>
  </si>
  <si>
    <t>s6_client_retention_repeat_business</t>
  </si>
  <si>
    <t>Ethics / dispute handling</t>
  </si>
  <si>
    <t>Code of conduct, dispute resolution, and ethical behavior are visible.</t>
  </si>
  <si>
    <t>s6_ethics_dispute_handling</t>
  </si>
  <si>
    <t>S7</t>
  </si>
  <si>
    <t>Category-specific Capability</t>
  </si>
  <si>
    <t>Category / product-specific capability</t>
  </si>
  <si>
    <t>The firm demonstrates depth in the chosen product or service category.</t>
  </si>
  <si>
    <t>s7_category_product_specific_capability</t>
  </si>
  <si>
    <t>Industry specialization</t>
  </si>
  <si>
    <t>Delivery capability is credible for one or more target industries / client segments.</t>
  </si>
  <si>
    <t>s7_industry_specialization</t>
  </si>
  <si>
    <t>Alliance status / auditor specialization</t>
  </si>
  <si>
    <t>Recognized partner status, specialization, or audit focus exists where relevant.</t>
  </si>
  <si>
    <t>Implementation Partner, Security Auditor, Managed Services</t>
  </si>
  <si>
    <t>s7_alliance_status_auditor_specialization</t>
  </si>
  <si>
    <t>Product Category Master</t>
  </si>
  <si>
    <t>Subcategory / Type</t>
  </si>
  <si>
    <t>Typical Examples</t>
  </si>
  <si>
    <t>Checklist To Use</t>
  </si>
  <si>
    <t>Suggested Label</t>
  </si>
  <si>
    <t>ERP Suite</t>
  </si>
  <si>
    <t>SAP Business One, Dynamics 365 BC, NetSuite</t>
  </si>
  <si>
    <t>ERP Product</t>
  </si>
  <si>
    <t>erp_product</t>
  </si>
  <si>
    <t>Manufacturing ERP</t>
  </si>
  <si>
    <t>Discrete / process manufacturing ERP</t>
  </si>
  <si>
    <t>manufacturing_erp</t>
  </si>
  <si>
    <t>CRM</t>
  </si>
  <si>
    <t>Salesforce, Zoho CRM, HubSpot CRM</t>
  </si>
  <si>
    <t>CRM Product</t>
  </si>
  <si>
    <t>crm_product</t>
  </si>
  <si>
    <t>CPQ / Sales Automation</t>
  </si>
  <si>
    <t>CPQ, lead automation, sales workflow</t>
  </si>
  <si>
    <t>Sales Automation</t>
  </si>
  <si>
    <t>sales_automation</t>
  </si>
  <si>
    <t>HRMS</t>
  </si>
  <si>
    <t>HRMS suites, attendance, payroll</t>
  </si>
  <si>
    <t>HRMS Product</t>
  </si>
  <si>
    <t>hrms_product</t>
  </si>
  <si>
    <t>Accounting / Finance</t>
  </si>
  <si>
    <t>Accounting, AP/AR, expense systems</t>
  </si>
  <si>
    <t>Finance Product</t>
  </si>
  <si>
    <t>finance_product</t>
  </si>
  <si>
    <t>Workflow / Project SaaS</t>
  </si>
  <si>
    <t>Project, helpdesk, workflow, collaboration</t>
  </si>
  <si>
    <t>operational_saas</t>
  </si>
  <si>
    <t>Cybersecurity Product</t>
  </si>
  <si>
    <t>Endpoint, IAM, SIEM, DLP</t>
  </si>
  <si>
    <t>Security Product</t>
  </si>
  <si>
    <t>security_product</t>
  </si>
  <si>
    <t>Integration / API Platform</t>
  </si>
  <si>
    <t>iPaaS, ETL, API platforms</t>
  </si>
  <si>
    <t>Integration Platform</t>
  </si>
  <si>
    <t>integration_platform</t>
  </si>
  <si>
    <t>AI / Automation</t>
  </si>
  <si>
    <t>AI copilots, RPA, automation suites</t>
  </si>
  <si>
    <t>ai_automation</t>
  </si>
  <si>
    <t>Vertical Software</t>
  </si>
  <si>
    <t>Manufacturing, pharma, retail niche apps</t>
  </si>
  <si>
    <t>Vertical App</t>
  </si>
  <si>
    <t>vertical_app</t>
  </si>
  <si>
    <t>Solution / Service Category Master</t>
  </si>
  <si>
    <t>ERP Implementation Partner</t>
  </si>
  <si>
    <t>SAP B1, Dynamics, Oracle, industry ERP partners</t>
  </si>
  <si>
    <t>ERP Partner</t>
  </si>
  <si>
    <t>erp_partner</t>
  </si>
  <si>
    <t>CRM Implementation Partner</t>
  </si>
  <si>
    <t>CRM rollout and support partners</t>
  </si>
  <si>
    <t>CRM Partner</t>
  </si>
  <si>
    <t>crm_partner</t>
  </si>
  <si>
    <t>Multi-system integrator / transformation partner</t>
  </si>
  <si>
    <t>system_integrator</t>
  </si>
  <si>
    <t>Infra, cloud, app ops managed services</t>
  </si>
  <si>
    <t>managed_service_provider</t>
  </si>
  <si>
    <t>ITES / Consulting Firm</t>
  </si>
  <si>
    <t>ITES, advisory, support, transformation consulting</t>
  </si>
  <si>
    <t>ITES / Consulting</t>
  </si>
  <si>
    <t>ites_consulting</t>
  </si>
  <si>
    <t>ISO 27001 Auditor</t>
  </si>
  <si>
    <t>ISO 27001 audit and readiness firms</t>
  </si>
  <si>
    <t>iso27001_auditor</t>
  </si>
  <si>
    <t>Security / Compliance Assessor</t>
  </si>
  <si>
    <t>Security audits, compliance, risk reviews</t>
  </si>
  <si>
    <t>Security Assessor</t>
  </si>
  <si>
    <t>security_assessor</t>
  </si>
  <si>
    <t>AMS / Support Partner</t>
  </si>
  <si>
    <t>Application support, AMS, hypercare</t>
  </si>
  <si>
    <t>AMS Partner</t>
  </si>
  <si>
    <t>ams_partner</t>
  </si>
  <si>
    <t>Remote Ops / NOC / SOC</t>
  </si>
  <si>
    <t>Ongoing remote monitoring and managed ops</t>
  </si>
  <si>
    <t>Managed Ops</t>
  </si>
  <si>
    <t>managed_ops</t>
  </si>
  <si>
    <t>JSON Export Schema for React App</t>
  </si>
  <si>
    <t>Section</t>
  </si>
  <si>
    <t>Field Label</t>
  </si>
  <si>
    <t>Type</t>
  </si>
  <si>
    <t>Header</t>
  </si>
  <si>
    <t>company_name</t>
  </si>
  <si>
    <t>string</t>
  </si>
  <si>
    <t>Text input</t>
  </si>
  <si>
    <t>assessment_type</t>
  </si>
  <si>
    <t>Product or Solution</t>
  </si>
  <si>
    <t>primary_category</t>
  </si>
  <si>
    <t>Dropdown from category masters</t>
  </si>
  <si>
    <t>subcategory</t>
  </si>
  <si>
    <t>Dropdown from type sheet</t>
  </si>
  <si>
    <t>assessor_name</t>
  </si>
  <si>
    <t>Auditor / evaluator name</t>
  </si>
  <si>
    <t>assessment_date</t>
  </si>
  <si>
    <t>date</t>
  </si>
  <si>
    <t>ISO date preferred in app</t>
  </si>
  <si>
    <t>reference_version</t>
  </si>
  <si>
    <t>e.g. v2.0</t>
  </si>
  <si>
    <t>Checklist Row</t>
  </si>
  <si>
    <t>section_id</t>
  </si>
  <si>
    <t>P1 / S1 etc.</t>
  </si>
  <si>
    <t>pillar</t>
  </si>
  <si>
    <t>Parent pillar name</t>
  </si>
  <si>
    <t>criterion</t>
  </si>
  <si>
    <t>Line item name</t>
  </si>
  <si>
    <t>max_points</t>
  </si>
  <si>
    <t>number</t>
  </si>
  <si>
    <t>Static master value</t>
  </si>
  <si>
    <t>Critical</t>
  </si>
  <si>
    <t>is_critical</t>
  </si>
  <si>
    <t>boolean</t>
  </si>
  <si>
    <t>Yes / No</t>
  </si>
  <si>
    <t>applicability</t>
  </si>
  <si>
    <t>Category note</t>
  </si>
  <si>
    <t>awarded_score</t>
  </si>
  <si>
    <t>0 to max_points</t>
  </si>
  <si>
    <t>remarks</t>
  </si>
  <si>
    <t>Auditor notes</t>
  </si>
  <si>
    <t>evidence_ref</t>
  </si>
  <si>
    <t>Optional URL or document ref</t>
  </si>
  <si>
    <t>outcome</t>
  </si>
  <si>
    <t>Auto-calculated by workbook/app</t>
  </si>
  <si>
    <t>Score Percentage</t>
  </si>
  <si>
    <t>score_pct</t>
  </si>
  <si>
    <t>0 to 1 or 0 to 100 based on app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</si>
</sst>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173F4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6F2F5"/>
      </patternFill>
    </fill>
    <fill>
      <patternFill patternType="solid">
        <fgColor rgb="FF1B6B7A"/>
      </patternFill>
    </fill>
    <fill>
      <patternFill patternType="solid">
        <fgColor rgb="FFFAFAFA"/>
      </patternFill>
    </fill>
    <fill>
      <patternFill patternType="solid">
        <fgColor rgb="FFF8FCFD"/>
      </patternFill>
    </fill>
    <fill>
      <patternFill patternType="solid">
        <fgColor rgb="FFFFFFFF"/>
      </patternFill>
    </fill>
    <fill>
      <patternFill patternType="solid">
        <fgColor rgb="FFFFF6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7F6000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3F6FA"/>
      </patternFill>
    </fill>
  </fills>
  <borders count="20">
    <border>
      <left/>
      <right/>
      <top/>
      <bottom/>
      <diagonal/>
    </border>
    <border>
      <left style="thin">
        <color rgb="FFC7D2D9"/>
      </left>
      <right/>
      <top style="thin">
        <color rgb="FFC7D2D9"/>
      </top>
      <bottom style="thin">
        <color rgb="FFC7D2D9"/>
      </bottom>
      <diagonal/>
    </border>
    <border>
      <left/>
      <right/>
      <top style="thin">
        <color rgb="FFC7D2D9"/>
      </top>
      <bottom style="thin">
        <color rgb="FFC7D2D9"/>
      </bottom>
      <diagonal/>
    </border>
    <border>
      <left/>
      <right style="thin">
        <color rgb="FFC7D2D9"/>
      </right>
      <top style="thin">
        <color rgb="FFC7D2D9"/>
      </top>
      <bottom style="thin">
        <color rgb="FFC7D2D9"/>
      </bottom>
      <diagonal/>
    </border>
    <border>
      <left style="thin">
        <color rgb="FFE5E7EB"/>
      </left>
      <right/>
      <top style="thin">
        <color rgb="FFE5E7EB"/>
      </top>
      <bottom style="thin">
        <color rgb="FFC7D2D9"/>
      </bottom>
      <diagonal/>
    </border>
    <border>
      <left/>
      <right/>
      <top style="thin">
        <color rgb="FFE5E7EB"/>
      </top>
      <bottom style="thin">
        <color rgb="FFC7D2D9"/>
      </bottom>
      <diagonal/>
    </border>
    <border>
      <left/>
      <right style="thin">
        <color rgb="FFE5E7EB"/>
      </right>
      <top style="thin">
        <color rgb="FFE5E7EB"/>
      </top>
      <bottom style="thin">
        <color rgb="FFC7D2D9"/>
      </bottom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 style="thin">
        <color rgb="FFC7D2D9"/>
      </top>
      <bottom style="thin">
        <color rgb="FFC7D2D9"/>
      </bottom>
      <diagonal/>
    </border>
    <border>
      <left/>
      <right style="thin">
        <color rgb="FFE5E7EB"/>
      </right>
      <top style="thin">
        <color rgb="FFC7D2D9"/>
      </top>
      <bottom style="thin">
        <color rgb="FFC7D2D9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C7D2D9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C7D2D9"/>
      </right>
      <top/>
      <bottom/>
      <diagonal/>
    </border>
    <border>
      <left style="thin">
        <color rgb="FFE5E7EB"/>
      </left>
      <right style="thin">
        <color rgb="FFC7D2D9"/>
      </right>
      <top/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4" borderId="4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3" fillId="4" borderId="14" xfId="0" applyFont="1" applyFill="1" applyBorder="1" applyAlignment="1">
      <alignment horizontal="center" vertical="top" wrapText="1"/>
    </xf>
    <xf numFmtId="0" fontId="3" fillId="4" borderId="16" xfId="0" applyFont="1" applyFill="1" applyBorder="1" applyAlignment="1">
      <alignment horizontal="center" vertical="top" wrapText="1"/>
    </xf>
    <xf numFmtId="0" fontId="3" fillId="4" borderId="17" xfId="0" applyFont="1" applyFill="1" applyBorder="1" applyAlignment="1">
      <alignment horizontal="center" vertical="top" wrapText="1"/>
    </xf>
    <xf numFmtId="0" fontId="0" fillId="5" borderId="13" xfId="0" applyFill="1" applyBorder="1" applyAlignment="1">
      <alignment vertical="top" wrapText="1"/>
    </xf>
    <xf numFmtId="0" fontId="0" fillId="6" borderId="18" xfId="0" applyFill="1" applyBorder="1" applyAlignment="1">
      <alignment vertical="top" wrapText="1"/>
    </xf>
    <xf numFmtId="0" fontId="0" fillId="6" borderId="19" xfId="0" applyFill="1" applyBorder="1" applyAlignment="1">
      <alignment vertical="top" wrapText="1"/>
    </xf>
    <xf numFmtId="1" fontId="0" fillId="6" borderId="19" xfId="0" applyNumberFormat="1" applyFill="1" applyBorder="1" applyAlignment="1">
      <alignment vertical="top" wrapText="1"/>
    </xf>
    <xf numFmtId="1" fontId="0" fillId="8" borderId="19" xfId="0" applyNumberFormat="1" applyFill="1" applyBorder="1" applyAlignment="1">
      <alignment vertical="top" wrapText="1"/>
    </xf>
    <xf numFmtId="1" fontId="0" fillId="6" borderId="15" xfId="0" applyNumberFormat="1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1" fontId="0" fillId="6" borderId="0" xfId="0" applyNumberFormat="1" applyFill="1" applyAlignment="1">
      <alignment vertical="top" wrapText="1"/>
    </xf>
    <xf numFmtId="1" fontId="0" fillId="8" borderId="0" xfId="0" applyNumberFormat="1" applyFill="1" applyAlignment="1">
      <alignment vertical="top" wrapText="1"/>
    </xf>
    <xf numFmtId="1" fontId="0" fillId="6" borderId="8" xfId="0" applyNumberFormat="1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1" fontId="0" fillId="7" borderId="0" xfId="0" applyNumberFormat="1" applyFill="1" applyAlignment="1">
      <alignment vertical="top" wrapText="1"/>
    </xf>
    <xf numFmtId="1" fontId="0" fillId="7" borderId="8" xfId="0" applyNumberFormat="1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0" fillId="7" borderId="12" xfId="0" applyFill="1" applyBorder="1" applyAlignment="1">
      <alignment vertical="top" wrapText="1"/>
    </xf>
    <xf numFmtId="1" fontId="0" fillId="7" borderId="12" xfId="0" applyNumberFormat="1" applyFill="1" applyBorder="1" applyAlignment="1">
      <alignment vertical="top" wrapText="1"/>
    </xf>
    <xf numFmtId="1" fontId="0" fillId="8" borderId="12" xfId="0" applyNumberFormat="1" applyFill="1" applyBorder="1" applyAlignment="1">
      <alignment vertical="top" wrapText="1"/>
    </xf>
    <xf numFmtId="1" fontId="0" fillId="7" borderId="13" xfId="0" applyNumberFormat="1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1" fontId="0" fillId="6" borderId="12" xfId="0" applyNumberFormat="1" applyFill="1" applyBorder="1" applyAlignment="1">
      <alignment vertical="top" wrapText="1"/>
    </xf>
    <xf numFmtId="1" fontId="0" fillId="6" borderId="13" xfId="0" applyNumberFormat="1" applyFill="1" applyBorder="1" applyAlignment="1">
      <alignment vertical="top" wrapText="1"/>
    </xf>
    <xf numFmtId="0" fontId="3" fillId="10" borderId="4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center" vertical="top" wrapText="1"/>
    </xf>
    <xf numFmtId="0" fontId="3" fillId="10" borderId="6" xfId="0" applyFont="1" applyFill="1" applyBorder="1" applyAlignment="1">
      <alignment horizontal="center" vertical="top" wrapText="1"/>
    </xf>
    <xf numFmtId="0" fontId="3" fillId="10" borderId="9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 wrapText="1"/>
    </xf>
    <xf numFmtId="0" fontId="3" fillId="10" borderId="10" xfId="0" applyFont="1" applyFill="1" applyBorder="1" applyAlignment="1">
      <alignment horizontal="center" vertical="top" wrapText="1"/>
    </xf>
    <xf numFmtId="0" fontId="5" fillId="10" borderId="7" xfId="0" applyFont="1" applyFill="1" applyBorder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5" fillId="10" borderId="8" xfId="0" applyFont="1" applyFill="1" applyBorder="1" applyAlignment="1">
      <alignment vertical="top" wrapText="1"/>
    </xf>
    <xf numFmtId="0" fontId="0" fillId="11" borderId="7" xfId="0" applyFill="1" applyBorder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1" borderId="8" xfId="0" applyFill="1" applyBorder="1" applyAlignment="1">
      <alignment vertical="top" wrapText="1"/>
    </xf>
    <xf numFmtId="0" fontId="5" fillId="10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0" fillId="5" borderId="15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164" fontId="0" fillId="5" borderId="8" xfId="0" applyNumberFormat="1" applyFill="1" applyBorder="1" applyAlignment="1">
      <alignment vertical="top" wrapText="1"/>
    </xf>
    <xf numFmtId="0" fontId="3" fillId="16" borderId="1" xfId="0" applyFont="1" applyFill="1" applyBorder="1" applyAlignment="1">
      <alignment horizontal="center" vertical="top" wrapTex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5" fillId="16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3" fillId="17" borderId="14" xfId="0" applyFont="1" applyFill="1" applyBorder="1" applyAlignment="1">
      <alignment horizontal="center" vertical="top" wrapText="1"/>
    </xf>
    <xf numFmtId="0" fontId="3" fillId="17" borderId="16" xfId="0" applyFont="1" applyFill="1" applyBorder="1" applyAlignment="1">
      <alignment horizontal="center" vertical="top" wrapText="1"/>
    </xf>
    <xf numFmtId="0" fontId="3" fillId="17" borderId="17" xfId="0" applyFont="1" applyFill="1" applyBorder="1" applyAlignment="1">
      <alignment horizontal="center" vertical="top" wrapText="1"/>
    </xf>
    <xf numFmtId="0" fontId="0" fillId="17" borderId="13" xfId="0" applyFill="1" applyBorder="1" applyAlignment="1">
      <alignment vertical="top" wrapText="1"/>
    </xf>
    <xf numFmtId="0" fontId="0" fillId="17" borderId="15" xfId="0" applyFill="1" applyBorder="1" applyAlignment="1">
      <alignment vertical="top" wrapText="1"/>
    </xf>
    <xf numFmtId="0" fontId="0" fillId="17" borderId="8" xfId="0" applyFill="1" applyBorder="1" applyAlignment="1">
      <alignment vertical="top" wrapText="1"/>
    </xf>
    <xf numFmtId="165" fontId="0" fillId="17" borderId="8" xfId="0" applyNumberFormat="1" applyFill="1" applyBorder="1" applyAlignment="1">
      <alignment vertical="top" wrapText="1"/>
    </xf>
    <xf numFmtId="0" fontId="4" fillId="9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6" fillId="12" borderId="0" xfId="0" applyFont="1" applyFill="1" applyAlignment="1">
      <alignment horizontal="center" wrapText="1"/>
    </xf>
    <xf numFmtId="0" fontId="6" fillId="13" borderId="0" xfId="0" applyFont="1" applyFill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8" fillId="16" borderId="1" xfId="0" applyFont="1" applyFill="1" applyBorder="1" applyAlignment="1">
      <alignment horizontal="center" vertical="top" wrapText="1"/>
    </xf>
    <xf numFmtId="0" fontId="8" fillId="16" borderId="2" xfId="0" applyFont="1" applyFill="1" applyBorder="1" applyAlignment="1">
      <alignment horizontal="center" vertical="top" wrapText="1"/>
    </xf>
    <xf numFmtId="0" fontId="8" fillId="16" borderId="3" xfId="0" applyFont="1" applyFill="1" applyBorder="1" applyAlignment="1">
      <alignment horizontal="center" vertical="top" wrapText="1"/>
    </xf>
    <xf numFmtId="0" fontId="8" fillId="16" borderId="0" xfId="0" applyFont="1" applyFill="1" applyAlignment="1">
      <alignment wrapText="1"/>
    </xf>
    <xf numFmtId="0" fontId="7" fillId="0" borderId="0" xfId="0" applyFont="1"/>
  </cellXfs>
  <cellStyles count="1">
    <cellStyle name="Normal" xfId="0" builtinId="0"/>
  </cellStyles>
  <dxfs count="2">
    <dxf>
      <fill>
        <patternFill>
          <bgColor rgb="FFFDE68A"/>
        </patternFill>
      </fill>
    </dxf>
    <dxf>
      <fill>
        <patternFill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duct_Checklist" displayName="Tbl_Product_Checklist" ref="A12:J52">
  <tableColumns count="10">
    <tableColumn id="1" xr3:uid="{00000000-0010-0000-0000-000001000000}" name="Section ID"/>
    <tableColumn id="2" xr3:uid="{00000000-0010-0000-0000-000002000000}" name="Pillar"/>
    <tableColumn id="3" xr3:uid="{00000000-0010-0000-0000-000003000000}" name="Criterion"/>
    <tableColumn id="4" xr3:uid="{00000000-0010-0000-0000-000004000000}" name="Description / What to look for"/>
    <tableColumn id="5" xr3:uid="{00000000-0010-0000-0000-000005000000}" name="Max Points"/>
    <tableColumn id="6" xr3:uid="{00000000-0010-0000-0000-000006000000}" name="Critical?"/>
    <tableColumn id="7" xr3:uid="{00000000-0010-0000-0000-000007000000}" name="Applicability"/>
    <tableColumn id="8" xr3:uid="{00000000-0010-0000-0000-000008000000}" name="Awarded Score"/>
    <tableColumn id="9" xr3:uid="{00000000-0010-0000-0000-000009000000}" name="Remarks"/>
    <tableColumn id="10" xr3:uid="{00000000-0010-0000-0000-00000A000000}" name="G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workbookViewId="0">
      <selection sqref="A1:J1"/>
    </sheetView>
  </sheetViews>
  <sheetFormatPr defaultRowHeight="13.8"/>
  <cols>
    <col min="1" max="1" width="88.59765625" customWidth="1"/>
    <col min="2" max="2" width="84.69921875" customWidth="1"/>
    <col min="3" max="3" width="60.296875" customWidth="1"/>
  </cols>
  <sheetData>
    <row r="1" spans="1:10" ht="13.65" customHeight="1">
      <c r="A1" s="69" t="s">
        <v>0</v>
      </c>
      <c r="B1" s="69"/>
      <c r="C1" s="69"/>
      <c r="D1" s="70"/>
      <c r="E1" s="70"/>
      <c r="F1" s="70"/>
      <c r="G1" s="70"/>
      <c r="H1" s="70"/>
      <c r="I1" s="70"/>
      <c r="J1" s="70"/>
    </row>
    <row r="2" spans="1:10" ht="13.65" customHeight="1">
      <c r="A2" s="71" t="s">
        <v>1</v>
      </c>
      <c r="B2" s="72"/>
      <c r="C2" s="72"/>
      <c r="D2" s="70"/>
      <c r="E2" s="70"/>
      <c r="F2" s="70"/>
      <c r="G2" s="70"/>
      <c r="H2" s="70"/>
      <c r="I2" s="70"/>
      <c r="J2" s="70"/>
    </row>
    <row r="3" spans="1:10" ht="13.65" customHeight="1">
      <c r="A3" s="7"/>
      <c r="B3" s="7"/>
      <c r="C3" s="7"/>
      <c r="D3" s="2"/>
      <c r="E3" s="2"/>
      <c r="F3" s="2"/>
      <c r="G3" s="2"/>
      <c r="H3" s="2"/>
      <c r="I3" s="2"/>
      <c r="J3" s="2"/>
    </row>
    <row r="4" spans="1:10" ht="13.65" customHeight="1">
      <c r="A4" s="39" t="s">
        <v>2</v>
      </c>
      <c r="B4" s="40" t="s">
        <v>3</v>
      </c>
      <c r="C4" s="41" t="s">
        <v>4</v>
      </c>
      <c r="D4" s="2"/>
      <c r="E4" s="2"/>
      <c r="F4" s="2"/>
      <c r="G4" s="2"/>
      <c r="H4" s="2"/>
      <c r="I4" s="2"/>
      <c r="J4" s="2"/>
    </row>
    <row r="5" spans="1:10" ht="27.3" customHeight="1">
      <c r="A5" s="45" t="s">
        <v>5</v>
      </c>
      <c r="B5" s="46" t="s">
        <v>6</v>
      </c>
      <c r="C5" s="47" t="s">
        <v>7</v>
      </c>
      <c r="D5" s="2"/>
      <c r="E5" s="2"/>
      <c r="F5" s="2"/>
      <c r="G5" s="2"/>
      <c r="H5" s="2"/>
      <c r="I5" s="2"/>
      <c r="J5" s="2"/>
    </row>
    <row r="6" spans="1:10" ht="27.3" customHeight="1">
      <c r="A6" s="45" t="s">
        <v>8</v>
      </c>
      <c r="B6" s="46" t="s">
        <v>9</v>
      </c>
      <c r="C6" s="47" t="s">
        <v>10</v>
      </c>
      <c r="D6" s="2"/>
      <c r="E6" s="2"/>
      <c r="F6" s="2"/>
      <c r="G6" s="2"/>
      <c r="H6" s="2"/>
      <c r="I6" s="2"/>
      <c r="J6" s="2"/>
    </row>
    <row r="7" spans="1:10" ht="27.3" customHeight="1">
      <c r="A7" s="45" t="s">
        <v>11</v>
      </c>
      <c r="B7" s="46" t="s">
        <v>12</v>
      </c>
      <c r="C7" s="47" t="s">
        <v>13</v>
      </c>
      <c r="D7" s="2"/>
      <c r="E7" s="2"/>
      <c r="F7" s="2"/>
      <c r="G7" s="2"/>
      <c r="H7" s="2"/>
      <c r="I7" s="2"/>
      <c r="J7" s="2"/>
    </row>
    <row r="8" spans="1:10" ht="27.3" customHeight="1">
      <c r="A8" s="45" t="s">
        <v>14</v>
      </c>
      <c r="B8" s="46" t="s">
        <v>15</v>
      </c>
      <c r="C8" s="47" t="s">
        <v>16</v>
      </c>
      <c r="D8" s="2"/>
      <c r="E8" s="2"/>
      <c r="F8" s="2"/>
      <c r="G8" s="2"/>
      <c r="H8" s="2"/>
      <c r="I8" s="2"/>
      <c r="J8" s="2"/>
    </row>
    <row r="9" spans="1:10" ht="27.3" customHeight="1">
      <c r="A9" s="45" t="s">
        <v>17</v>
      </c>
      <c r="B9" s="46" t="s">
        <v>18</v>
      </c>
      <c r="C9" s="47" t="s">
        <v>19</v>
      </c>
      <c r="D9" s="2"/>
      <c r="E9" s="2"/>
      <c r="F9" s="2"/>
      <c r="G9" s="2"/>
      <c r="H9" s="2"/>
      <c r="I9" s="2"/>
      <c r="J9" s="2"/>
    </row>
    <row r="10" spans="1:10" ht="13.65" customHeight="1">
      <c r="A10" s="45" t="s">
        <v>20</v>
      </c>
      <c r="B10" s="46" t="s">
        <v>21</v>
      </c>
      <c r="C10" s="47" t="s">
        <v>19</v>
      </c>
      <c r="D10" s="2"/>
      <c r="E10" s="2"/>
      <c r="F10" s="2"/>
      <c r="G10" s="2"/>
      <c r="H10" s="2"/>
      <c r="I10" s="2"/>
      <c r="J10" s="2"/>
    </row>
    <row r="11" spans="1:10" ht="13.65" customHeight="1">
      <c r="A11" s="42" t="s">
        <v>22</v>
      </c>
      <c r="B11" s="43" t="s">
        <v>23</v>
      </c>
      <c r="C11" s="44" t="s">
        <v>24</v>
      </c>
      <c r="D11" s="2"/>
      <c r="E11" s="2"/>
      <c r="F11" s="2"/>
      <c r="G11" s="2"/>
      <c r="H11" s="2"/>
      <c r="I11" s="2"/>
      <c r="J11" s="2"/>
    </row>
    <row r="12" spans="1:10" ht="13.65" customHeight="1">
      <c r="A12" s="6"/>
      <c r="B12" s="7"/>
      <c r="C12" s="8"/>
      <c r="D12" s="2"/>
      <c r="E12" s="2"/>
      <c r="F12" s="2"/>
      <c r="G12" s="2"/>
      <c r="H12" s="2"/>
      <c r="I12" s="2"/>
      <c r="J12" s="2"/>
    </row>
    <row r="13" spans="1:10" ht="13.65" customHeight="1">
      <c r="A13" s="48" t="s">
        <v>25</v>
      </c>
      <c r="B13" s="49" t="s">
        <v>26</v>
      </c>
      <c r="C13" s="50" t="s">
        <v>27</v>
      </c>
      <c r="D13" s="2"/>
      <c r="E13" s="2"/>
      <c r="F13" s="2"/>
      <c r="G13" s="2"/>
      <c r="H13" s="2"/>
      <c r="I13" s="2"/>
      <c r="J13" s="2"/>
    </row>
    <row r="14" spans="1:10" ht="13.65" customHeight="1">
      <c r="A14" s="48" t="s">
        <v>28</v>
      </c>
      <c r="B14" s="49" t="s">
        <v>29</v>
      </c>
      <c r="C14" s="50" t="s">
        <v>30</v>
      </c>
      <c r="D14" s="2"/>
      <c r="E14" s="2"/>
      <c r="F14" s="2"/>
      <c r="G14" s="2"/>
      <c r="H14" s="2"/>
      <c r="I14" s="2"/>
      <c r="J14" s="2"/>
    </row>
    <row r="15" spans="1:10" ht="27.3" customHeight="1">
      <c r="A15" s="48" t="s">
        <v>31</v>
      </c>
      <c r="B15" s="49" t="s">
        <v>32</v>
      </c>
      <c r="C15" s="50" t="s">
        <v>33</v>
      </c>
      <c r="D15" s="2"/>
      <c r="E15" s="2"/>
      <c r="F15" s="2"/>
      <c r="G15" s="2"/>
      <c r="H15" s="2"/>
      <c r="I15" s="2"/>
      <c r="J15" s="2"/>
    </row>
    <row r="16" spans="1:10" ht="27.3" customHeight="1">
      <c r="A16" s="48" t="s">
        <v>34</v>
      </c>
      <c r="B16" s="49" t="s">
        <v>35</v>
      </c>
      <c r="C16" s="50" t="s">
        <v>36</v>
      </c>
      <c r="D16" s="2"/>
      <c r="E16" s="2"/>
      <c r="F16" s="2"/>
      <c r="G16" s="2"/>
      <c r="H16" s="2"/>
      <c r="I16" s="2"/>
      <c r="J16" s="2"/>
    </row>
    <row r="17" spans="1:10" ht="13.65" customHeight="1">
      <c r="A17" s="48" t="s">
        <v>37</v>
      </c>
      <c r="B17" s="49" t="s">
        <v>38</v>
      </c>
      <c r="C17" s="50" t="s">
        <v>39</v>
      </c>
      <c r="D17" s="2"/>
      <c r="E17" s="2"/>
      <c r="F17" s="2"/>
      <c r="G17" s="2"/>
      <c r="H17" s="2"/>
      <c r="I17" s="2"/>
      <c r="J17" s="2"/>
    </row>
    <row r="18" spans="1:10" ht="40.950000000000003" customHeight="1">
      <c r="A18" s="48" t="s">
        <v>40</v>
      </c>
      <c r="B18" s="49" t="s">
        <v>41</v>
      </c>
      <c r="C18" s="50" t="s">
        <v>42</v>
      </c>
      <c r="D18" s="2"/>
      <c r="E18" s="2"/>
      <c r="F18" s="2"/>
      <c r="G18" s="2"/>
      <c r="H18" s="2"/>
      <c r="I18" s="2"/>
      <c r="J18" s="2"/>
    </row>
    <row r="19" spans="1:10" ht="13.65" customHeight="1">
      <c r="A19" s="48" t="s">
        <v>43</v>
      </c>
      <c r="B19" s="49" t="s">
        <v>44</v>
      </c>
      <c r="C19" s="50" t="s">
        <v>45</v>
      </c>
      <c r="D19" s="2"/>
      <c r="E19" s="2"/>
      <c r="F19" s="2"/>
      <c r="G19" s="2"/>
      <c r="H19" s="2"/>
      <c r="I19" s="2"/>
      <c r="J19" s="2"/>
    </row>
    <row r="20" spans="1:10" ht="27.3" customHeight="1">
      <c r="A20" s="48" t="s">
        <v>46</v>
      </c>
      <c r="B20" s="49" t="s">
        <v>47</v>
      </c>
      <c r="C20" s="50" t="s">
        <v>48</v>
      </c>
      <c r="D20" s="2"/>
      <c r="E20" s="2"/>
      <c r="F20" s="2"/>
      <c r="G20" s="2"/>
      <c r="H20" s="2"/>
      <c r="I20" s="2"/>
      <c r="J20" s="2"/>
    </row>
    <row r="21" spans="1:10" ht="40.950000000000003" customHeight="1">
      <c r="A21" s="9"/>
      <c r="B21" s="10"/>
      <c r="C21" s="11"/>
      <c r="D21" s="2"/>
      <c r="E21" s="2"/>
      <c r="F21" s="2"/>
      <c r="G21" s="2"/>
      <c r="H21" s="2"/>
      <c r="I21" s="2"/>
      <c r="J21" s="2"/>
    </row>
    <row r="22" spans="1:10" ht="13.65" customHeight="1">
      <c r="A22" s="7" t="s">
        <v>49</v>
      </c>
      <c r="B22" s="7" t="s">
        <v>50</v>
      </c>
      <c r="C22" s="7" t="s">
        <v>51</v>
      </c>
      <c r="D22" s="2"/>
      <c r="E22" s="2"/>
      <c r="F22" s="2"/>
      <c r="G22" s="2"/>
      <c r="H22" s="2"/>
      <c r="I22" s="2"/>
      <c r="J22" s="2"/>
    </row>
    <row r="23" spans="1:10" ht="13.6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3.6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3.6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3.6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3.6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3.6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3.6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3.6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3.6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3.6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3.6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3.6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3.6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3.6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3.6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3.6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3.6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3.6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3.6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3.6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3.6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3.6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3.6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3.6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3.6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3.6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3.6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3.6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3.6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3.6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3.6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3.6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3.6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3.6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3.6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.6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.6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.6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.6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.6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.6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.6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.6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.6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.6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.6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.6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.6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.6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.6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.6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.6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.6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.6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.6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.6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.6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.6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.6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.6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.6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.6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.6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.6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.6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.6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.6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.6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.6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.6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.6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.6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.6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.6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.6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.6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.6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.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3.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3.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3.6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3.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3.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3.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3.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3.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3.6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3.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3.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3.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3.6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3.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3.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3.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3.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3.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3.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3.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3.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3.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3.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3.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3.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3.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3.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3.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3.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3.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3.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3.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3.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3.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3.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3.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3.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3.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3.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3.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3.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3.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3.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3.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3.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3.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3.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3.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3.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3.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3.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3.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3.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3.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3.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3.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3.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3.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3.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3.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3.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3.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3.6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3.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3.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3.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3.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3.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3.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3.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3.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3.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3.6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3.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3.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3.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3.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3.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3.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3.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3.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3.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3.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3.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3.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3.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3.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3.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3.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3.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3.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3.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3.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3.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3.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3.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3.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3.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3.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3.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3.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3.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3.6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3.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3.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3.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3.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3.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3.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3.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3.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3.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3.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3.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3.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3.6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3.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3.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3.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3.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3.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3.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3.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3.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3.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3.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3.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3.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3.6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3.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3.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3.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3.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3.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3.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3.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3.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3.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3.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3.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3.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3.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3.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3.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3.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3.6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3.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3.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3.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3.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topLeftCell="A7" workbookViewId="0">
      <selection activeCell="E13" sqref="E13"/>
    </sheetView>
  </sheetViews>
  <sheetFormatPr defaultRowHeight="13.8"/>
  <cols>
    <col min="1" max="1" width="28" customWidth="1"/>
    <col min="2" max="2" width="56" customWidth="1"/>
    <col min="3" max="3" width="38" customWidth="1"/>
    <col min="5" max="6" width="28" customWidth="1"/>
    <col min="7" max="7" width="38" customWidth="1"/>
  </cols>
  <sheetData>
    <row r="1" spans="1:10" ht="13.65" customHeight="1">
      <c r="A1" s="73" t="s">
        <v>52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3.65" customHeight="1">
      <c r="A2" s="74" t="s">
        <v>53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13.6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3.65" customHeight="1">
      <c r="A4" s="3" t="s">
        <v>54</v>
      </c>
      <c r="B4" s="4" t="s">
        <v>55</v>
      </c>
      <c r="C4" s="5" t="s">
        <v>56</v>
      </c>
      <c r="D4" s="7"/>
      <c r="E4" s="3" t="s">
        <v>57</v>
      </c>
      <c r="F4" s="4" t="s">
        <v>55</v>
      </c>
      <c r="G4" s="5" t="s">
        <v>56</v>
      </c>
      <c r="H4" s="2"/>
      <c r="I4" s="2"/>
      <c r="J4" s="2"/>
    </row>
    <row r="5" spans="1:10" ht="27.3" customHeight="1">
      <c r="A5" s="6" t="s">
        <v>58</v>
      </c>
      <c r="B5" s="7" t="s">
        <v>59</v>
      </c>
      <c r="C5" s="8" t="s">
        <v>60</v>
      </c>
      <c r="D5" s="7"/>
      <c r="E5" s="6" t="s">
        <v>61</v>
      </c>
      <c r="F5" s="7" t="s">
        <v>62</v>
      </c>
      <c r="G5" s="8" t="s">
        <v>63</v>
      </c>
      <c r="H5" s="2"/>
      <c r="I5" s="2"/>
      <c r="J5" s="2"/>
    </row>
    <row r="6" spans="1:10" ht="27.3" customHeight="1">
      <c r="A6" s="6" t="s">
        <v>64</v>
      </c>
      <c r="B6" s="7" t="s">
        <v>65</v>
      </c>
      <c r="C6" s="8" t="s">
        <v>66</v>
      </c>
      <c r="D6" s="7"/>
      <c r="E6" s="6" t="s">
        <v>67</v>
      </c>
      <c r="F6" s="7" t="s">
        <v>68</v>
      </c>
      <c r="G6" s="8" t="s">
        <v>69</v>
      </c>
      <c r="H6" s="2"/>
      <c r="I6" s="2"/>
      <c r="J6" s="2"/>
    </row>
    <row r="7" spans="1:10" ht="27.3" customHeight="1">
      <c r="A7" s="6" t="s">
        <v>70</v>
      </c>
      <c r="B7" s="7" t="s">
        <v>71</v>
      </c>
      <c r="C7" s="8" t="s">
        <v>72</v>
      </c>
      <c r="D7" s="7"/>
      <c r="E7" s="6" t="s">
        <v>73</v>
      </c>
      <c r="F7" s="7" t="s">
        <v>74</v>
      </c>
      <c r="G7" s="8" t="s">
        <v>75</v>
      </c>
      <c r="H7" s="2"/>
      <c r="I7" s="2"/>
      <c r="J7" s="2"/>
    </row>
    <row r="8" spans="1:10" ht="27.3" customHeight="1">
      <c r="A8" s="6" t="s">
        <v>76</v>
      </c>
      <c r="B8" s="7" t="s">
        <v>77</v>
      </c>
      <c r="C8" s="8" t="s">
        <v>78</v>
      </c>
      <c r="D8" s="7"/>
      <c r="E8" s="6" t="s">
        <v>79</v>
      </c>
      <c r="F8" s="7" t="s">
        <v>80</v>
      </c>
      <c r="G8" s="8" t="s">
        <v>81</v>
      </c>
      <c r="H8" s="2"/>
      <c r="I8" s="2"/>
      <c r="J8" s="2"/>
    </row>
    <row r="9" spans="1:10" ht="27.3" customHeight="1">
      <c r="A9" s="6" t="s">
        <v>82</v>
      </c>
      <c r="B9" s="7" t="s">
        <v>82</v>
      </c>
      <c r="C9" s="8" t="s">
        <v>83</v>
      </c>
      <c r="D9" s="7"/>
      <c r="E9" s="6" t="s">
        <v>84</v>
      </c>
      <c r="F9" s="7" t="s">
        <v>85</v>
      </c>
      <c r="G9" s="8" t="s">
        <v>86</v>
      </c>
      <c r="H9" s="2"/>
      <c r="I9" s="2"/>
      <c r="J9" s="2"/>
    </row>
    <row r="10" spans="1:10" ht="40.950000000000003" customHeight="1">
      <c r="A10" s="6" t="s">
        <v>87</v>
      </c>
      <c r="B10" s="7" t="s">
        <v>88</v>
      </c>
      <c r="C10" s="8" t="s">
        <v>89</v>
      </c>
      <c r="D10" s="7"/>
      <c r="E10" s="9" t="s">
        <v>90</v>
      </c>
      <c r="F10" s="10" t="s">
        <v>91</v>
      </c>
      <c r="G10" s="11" t="s">
        <v>92</v>
      </c>
      <c r="H10" s="2"/>
      <c r="I10" s="2"/>
      <c r="J10" s="2"/>
    </row>
    <row r="11" spans="1:10" ht="27.3" customHeight="1">
      <c r="A11" s="6" t="s">
        <v>93</v>
      </c>
      <c r="B11" s="7" t="s">
        <v>93</v>
      </c>
      <c r="C11" s="8" t="s">
        <v>94</v>
      </c>
      <c r="D11" s="7"/>
      <c r="E11" s="7"/>
      <c r="F11" s="7"/>
      <c r="G11" s="7"/>
      <c r="H11" s="2"/>
      <c r="I11" s="2"/>
      <c r="J11" s="2"/>
    </row>
    <row r="12" spans="1:10" ht="27.3" customHeight="1">
      <c r="A12" s="6" t="s">
        <v>95</v>
      </c>
      <c r="B12" s="7" t="s">
        <v>95</v>
      </c>
      <c r="C12" s="8" t="s">
        <v>96</v>
      </c>
      <c r="D12" s="7"/>
      <c r="E12" s="7"/>
      <c r="F12" s="7"/>
      <c r="G12" s="7"/>
      <c r="H12" s="2"/>
      <c r="I12" s="2"/>
      <c r="J12" s="2"/>
    </row>
    <row r="13" spans="1:10" ht="27.3" customHeight="1">
      <c r="A13" s="9" t="s">
        <v>97</v>
      </c>
      <c r="B13" s="10" t="s">
        <v>98</v>
      </c>
      <c r="C13" s="11" t="s">
        <v>99</v>
      </c>
      <c r="D13" s="7"/>
      <c r="E13" s="7"/>
      <c r="F13" s="7"/>
      <c r="G13" s="7"/>
      <c r="H13" s="2"/>
      <c r="I13" s="2"/>
      <c r="J13" s="2"/>
    </row>
    <row r="14" spans="1:10" ht="13.6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3.65" customHeight="1">
      <c r="A15" s="3" t="s">
        <v>100</v>
      </c>
      <c r="B15" s="5" t="s">
        <v>101</v>
      </c>
      <c r="C15" s="2"/>
      <c r="D15" s="2"/>
      <c r="E15" s="2"/>
      <c r="F15" s="2"/>
      <c r="G15" s="2"/>
      <c r="H15" s="2"/>
      <c r="I15" s="2"/>
      <c r="J15" s="2"/>
    </row>
    <row r="16" spans="1:10" ht="27.3" customHeight="1">
      <c r="A16" s="6" t="s">
        <v>102</v>
      </c>
      <c r="B16" s="8" t="s">
        <v>103</v>
      </c>
      <c r="C16" s="2"/>
      <c r="D16" s="2"/>
      <c r="E16" s="2"/>
      <c r="F16" s="2"/>
      <c r="G16" s="2"/>
      <c r="H16" s="2"/>
      <c r="I16" s="2"/>
      <c r="J16" s="2"/>
    </row>
    <row r="17" spans="1:10" ht="27.3" customHeight="1">
      <c r="A17" s="6" t="s">
        <v>104</v>
      </c>
      <c r="B17" s="8" t="s">
        <v>105</v>
      </c>
      <c r="C17" s="2"/>
      <c r="D17" s="2"/>
      <c r="E17" s="2"/>
      <c r="F17" s="2"/>
      <c r="G17" s="2"/>
      <c r="H17" s="2"/>
      <c r="I17" s="2"/>
      <c r="J17" s="2"/>
    </row>
    <row r="18" spans="1:10" ht="27.3" customHeight="1">
      <c r="A18" s="9" t="s">
        <v>106</v>
      </c>
      <c r="B18" s="11" t="s">
        <v>107</v>
      </c>
      <c r="C18" s="2"/>
      <c r="D18" s="2"/>
      <c r="E18" s="2"/>
      <c r="F18" s="2"/>
      <c r="G18" s="2"/>
      <c r="H18" s="2"/>
      <c r="I18" s="2"/>
      <c r="J18" s="2"/>
    </row>
    <row r="19" spans="1:10" ht="13.6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3.6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3.6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3.6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3.6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3.6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3.6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3.6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3.6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3.6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3.6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3.6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3.6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3.6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3.6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3.6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3.6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3.6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3.6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3.6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3.6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3.6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3.6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3.6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3.6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3.6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3.6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3.6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3.6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3.6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3.6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3.6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3.6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3.6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3.6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3.6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3.6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3.6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.6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.6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.6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.6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.6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.6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.6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.6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.6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.6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.6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.6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.6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.6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.6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.6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.6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.6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.6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.6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.6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.6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.6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.6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.6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.6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.6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.6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.6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.6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.6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.6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.6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.6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.6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.6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.6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.6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.6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.6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.6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.6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.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3.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3.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3.6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3.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3.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3.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3.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3.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3.6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3.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3.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3.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3.6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3.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3.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3.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3.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3.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3.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3.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3.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3.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3.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3.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3.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3.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3.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3.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3.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3.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3.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3.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3.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3.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3.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3.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3.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3.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3.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3.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3.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3.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3.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3.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3.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3.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3.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3.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3.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3.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3.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3.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3.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3.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3.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3.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3.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3.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3.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3.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3.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3.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3.6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3.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3.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3.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3.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3.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3.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3.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3.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3.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3.6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3.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3.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3.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3.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3.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3.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3.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3.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3.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3.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3.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3.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3.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3.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3.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3.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3.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3.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3.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3.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3.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3.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3.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3.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3.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3.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3.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3.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3.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3.6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3.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3.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3.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3.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3.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3.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3.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3.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3.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3.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3.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3.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3.6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3.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3.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3.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3.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3.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3.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3.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3.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3.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3.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3.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3.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3.6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3.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3.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3.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3.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3.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3.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3.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3.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3.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3.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3.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3.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3.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3.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3.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3.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3.6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3.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3.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3.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3.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0"/>
  <sheetViews>
    <sheetView tabSelected="1" workbookViewId="0">
      <selection activeCell="B6" sqref="B6"/>
    </sheetView>
  </sheetViews>
  <sheetFormatPr defaultRowHeight="13.8"/>
  <cols>
    <col min="1" max="1" width="25.09765625" customWidth="1"/>
    <col min="2" max="2" width="34.8984375" customWidth="1"/>
    <col min="3" max="3" width="50.296875" customWidth="1"/>
    <col min="4" max="4" width="108.3984375" customWidth="1"/>
    <col min="5" max="5" width="11.8984375" customWidth="1"/>
    <col min="6" max="6" width="8.59765625" customWidth="1"/>
    <col min="7" max="7" width="75" customWidth="1"/>
    <col min="8" max="8" width="16.09765625" customWidth="1"/>
    <col min="9" max="9" width="9.296875" customWidth="1"/>
    <col min="10" max="10" width="4.296875" customWidth="1"/>
    <col min="11" max="11" width="20.296875" customWidth="1"/>
    <col min="12" max="12" width="57" customWidth="1"/>
  </cols>
  <sheetData>
    <row r="1" spans="1:12" ht="13.65" customHeight="1">
      <c r="A1" s="75" t="s">
        <v>108</v>
      </c>
      <c r="B1" s="72"/>
      <c r="C1" s="72"/>
      <c r="D1" s="72"/>
      <c r="E1" s="72"/>
      <c r="F1" s="72"/>
      <c r="G1" s="72"/>
      <c r="H1" s="72"/>
      <c r="I1" s="72"/>
      <c r="J1" s="72"/>
      <c r="K1" s="1"/>
      <c r="L1" s="1"/>
    </row>
    <row r="2" spans="1:12" ht="13.65" customHeight="1">
      <c r="A2" s="71" t="s">
        <v>109</v>
      </c>
      <c r="B2" s="72"/>
      <c r="C2" s="72"/>
      <c r="D2" s="72"/>
      <c r="E2" s="72"/>
      <c r="F2" s="72"/>
      <c r="G2" s="72"/>
      <c r="H2" s="72"/>
      <c r="I2" s="72"/>
      <c r="J2" s="72"/>
      <c r="K2" s="1"/>
      <c r="L2" s="1"/>
    </row>
    <row r="3" spans="1:12" ht="13.6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1"/>
      <c r="L3" s="1"/>
    </row>
    <row r="4" spans="1:12" ht="40.950000000000003" customHeight="1">
      <c r="A4" s="12" t="s">
        <v>110</v>
      </c>
      <c r="B4" s="54"/>
      <c r="C4" s="7"/>
      <c r="D4" s="7"/>
      <c r="E4" s="7"/>
      <c r="F4" s="62" t="s">
        <v>111</v>
      </c>
      <c r="G4" s="66"/>
      <c r="H4" s="7"/>
      <c r="I4" s="7"/>
      <c r="J4" s="7"/>
      <c r="K4" s="1"/>
      <c r="L4" s="1"/>
    </row>
    <row r="5" spans="1:12" ht="27.3" customHeight="1">
      <c r="A5" s="13" t="s">
        <v>112</v>
      </c>
      <c r="B5" s="55" t="s">
        <v>113</v>
      </c>
      <c r="C5" s="7"/>
      <c r="D5" s="7"/>
      <c r="E5" s="7"/>
      <c r="F5" s="63" t="s">
        <v>114</v>
      </c>
      <c r="G5" s="67">
        <f>SUM(E13:E200)</f>
        <v>100</v>
      </c>
      <c r="H5" s="7"/>
      <c r="I5" s="7"/>
      <c r="J5" s="7"/>
      <c r="K5" s="1"/>
      <c r="L5" s="1"/>
    </row>
    <row r="6" spans="1:12" ht="27.3" customHeight="1">
      <c r="A6" s="13" t="s">
        <v>115</v>
      </c>
      <c r="B6" s="55"/>
      <c r="C6" s="7"/>
      <c r="D6" s="7"/>
      <c r="E6" s="7"/>
      <c r="F6" s="63" t="s">
        <v>116</v>
      </c>
      <c r="G6" s="67">
        <f>SUM(H13:H200)</f>
        <v>0</v>
      </c>
      <c r="H6" s="7"/>
      <c r="I6" s="7"/>
      <c r="J6" s="7"/>
      <c r="K6" s="1"/>
      <c r="L6" s="1"/>
    </row>
    <row r="7" spans="1:12" ht="13.65" customHeight="1">
      <c r="A7" s="13" t="s">
        <v>117</v>
      </c>
      <c r="B7" s="55"/>
      <c r="C7" s="7"/>
      <c r="D7" s="7"/>
      <c r="E7" s="7"/>
      <c r="F7" s="63" t="s">
        <v>118</v>
      </c>
      <c r="G7" s="68">
        <f>IF(G5=0,0,G6/G5)</f>
        <v>0</v>
      </c>
      <c r="H7" s="7"/>
      <c r="I7" s="7"/>
      <c r="J7" s="7"/>
      <c r="K7" s="1"/>
      <c r="L7" s="1"/>
    </row>
    <row r="8" spans="1:12" ht="40.950000000000003" customHeight="1">
      <c r="A8" s="13" t="s">
        <v>119</v>
      </c>
      <c r="B8" s="56"/>
      <c r="C8" s="7"/>
      <c r="D8" s="7"/>
      <c r="E8" s="7"/>
      <c r="F8" s="63" t="s">
        <v>120</v>
      </c>
      <c r="G8" s="67">
        <f>COUNTIFS(F13:F200,"Yes",H13:H200,0)</f>
        <v>0</v>
      </c>
      <c r="H8" s="7"/>
      <c r="I8" s="7"/>
      <c r="J8" s="7"/>
      <c r="K8" s="1"/>
      <c r="L8" s="1"/>
    </row>
    <row r="9" spans="1:12" ht="40.950000000000003" customHeight="1">
      <c r="A9" s="14" t="s">
        <v>121</v>
      </c>
      <c r="B9" s="15"/>
      <c r="C9" s="7"/>
      <c r="D9" s="7"/>
      <c r="E9" s="7"/>
      <c r="F9" s="63" t="s">
        <v>122</v>
      </c>
      <c r="G9" s="67" t="str">
        <f>IF(G8&gt;0,"Rejected - Critical Failure",IF(G6&lt;30,"Rejected",IF(G6&lt;65,"Verification Done - Certification Not Granted",IF(G6&lt;75,"Conditional",IF(G6&lt;85,"Certified",IF(G6&lt;95,"Gold Verified","Platinum Verified"))))))</f>
        <v>Rejected</v>
      </c>
      <c r="H9" s="7"/>
      <c r="I9" s="7"/>
      <c r="J9" s="7"/>
      <c r="K9" s="1"/>
      <c r="L9" s="1"/>
    </row>
    <row r="10" spans="1:12" ht="27.3" customHeight="1">
      <c r="A10" s="61" t="s">
        <v>123</v>
      </c>
      <c r="B10" s="7" t="s">
        <v>124</v>
      </c>
      <c r="C10" s="7"/>
      <c r="D10" s="7"/>
      <c r="E10" s="7"/>
      <c r="F10" s="64" t="s">
        <v>4</v>
      </c>
      <c r="G10" s="65" t="s">
        <v>125</v>
      </c>
      <c r="H10" s="7"/>
      <c r="I10" s="7"/>
      <c r="J10" s="7"/>
      <c r="K10" s="1"/>
      <c r="L10" s="1"/>
    </row>
    <row r="11" spans="1:12" ht="13.6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2" ht="27.3" customHeight="1">
      <c r="A12" s="57" t="s">
        <v>126</v>
      </c>
      <c r="B12" s="58" t="s">
        <v>127</v>
      </c>
      <c r="C12" s="58" t="s">
        <v>128</v>
      </c>
      <c r="D12" s="58" t="s">
        <v>129</v>
      </c>
      <c r="E12" s="58" t="s">
        <v>130</v>
      </c>
      <c r="F12" s="58" t="s">
        <v>131</v>
      </c>
      <c r="G12" s="58" t="s">
        <v>132</v>
      </c>
      <c r="H12" s="58" t="s">
        <v>116</v>
      </c>
      <c r="I12" s="58" t="s">
        <v>133</v>
      </c>
      <c r="J12" s="59" t="s">
        <v>134</v>
      </c>
      <c r="K12" s="60" t="s">
        <v>135</v>
      </c>
      <c r="L12" s="60" t="s">
        <v>136</v>
      </c>
    </row>
    <row r="13" spans="1:12" ht="40.950000000000003" customHeight="1">
      <c r="A13" s="16" t="s">
        <v>137</v>
      </c>
      <c r="B13" s="17" t="s">
        <v>138</v>
      </c>
      <c r="C13" s="17" t="s">
        <v>139</v>
      </c>
      <c r="D13" s="17" t="s">
        <v>140</v>
      </c>
      <c r="E13" s="18">
        <v>2</v>
      </c>
      <c r="F13" s="18" t="s">
        <v>141</v>
      </c>
      <c r="G13" s="18" t="s">
        <v>142</v>
      </c>
      <c r="H13" s="19"/>
      <c r="I13" s="18"/>
      <c r="J13" s="20">
        <f t="shared" ref="J13:J52" si="0">E13-H13</f>
        <v>2</v>
      </c>
      <c r="K13" s="1"/>
      <c r="L13" s="1" t="s">
        <v>143</v>
      </c>
    </row>
    <row r="14" spans="1:12" ht="40.950000000000003" customHeight="1">
      <c r="A14" s="21" t="s">
        <v>137</v>
      </c>
      <c r="B14" s="22" t="s">
        <v>138</v>
      </c>
      <c r="C14" s="22" t="s">
        <v>144</v>
      </c>
      <c r="D14" s="22" t="s">
        <v>145</v>
      </c>
      <c r="E14" s="23">
        <v>3</v>
      </c>
      <c r="F14" s="23" t="s">
        <v>141</v>
      </c>
      <c r="G14" s="23" t="s">
        <v>142</v>
      </c>
      <c r="H14" s="24"/>
      <c r="I14" s="23"/>
      <c r="J14" s="25">
        <f t="shared" si="0"/>
        <v>3</v>
      </c>
      <c r="K14" s="1"/>
      <c r="L14" s="1" t="s">
        <v>146</v>
      </c>
    </row>
    <row r="15" spans="1:12" ht="40.950000000000003" customHeight="1">
      <c r="A15" s="21" t="s">
        <v>137</v>
      </c>
      <c r="B15" s="22" t="s">
        <v>138</v>
      </c>
      <c r="C15" s="22" t="s">
        <v>147</v>
      </c>
      <c r="D15" s="22" t="s">
        <v>148</v>
      </c>
      <c r="E15" s="23">
        <v>3</v>
      </c>
      <c r="F15" s="23" t="s">
        <v>141</v>
      </c>
      <c r="G15" s="23" t="s">
        <v>142</v>
      </c>
      <c r="H15" s="24"/>
      <c r="I15" s="23"/>
      <c r="J15" s="25">
        <f t="shared" si="0"/>
        <v>3</v>
      </c>
      <c r="K15" s="1"/>
      <c r="L15" s="1" t="s">
        <v>149</v>
      </c>
    </row>
    <row r="16" spans="1:12" ht="54.75" customHeight="1">
      <c r="A16" s="21" t="s">
        <v>137</v>
      </c>
      <c r="B16" s="22" t="s">
        <v>138</v>
      </c>
      <c r="C16" s="22" t="s">
        <v>150</v>
      </c>
      <c r="D16" s="22" t="s">
        <v>151</v>
      </c>
      <c r="E16" s="23">
        <v>3</v>
      </c>
      <c r="F16" s="23" t="s">
        <v>141</v>
      </c>
      <c r="G16" s="23" t="s">
        <v>152</v>
      </c>
      <c r="H16" s="24"/>
      <c r="I16" s="23"/>
      <c r="J16" s="25">
        <f t="shared" si="0"/>
        <v>3</v>
      </c>
      <c r="K16" s="1"/>
      <c r="L16" s="1" t="s">
        <v>153</v>
      </c>
    </row>
    <row r="17" spans="1:12" ht="40.950000000000003" customHeight="1">
      <c r="A17" s="21" t="s">
        <v>137</v>
      </c>
      <c r="B17" s="22" t="s">
        <v>138</v>
      </c>
      <c r="C17" s="22" t="s">
        <v>154</v>
      </c>
      <c r="D17" s="22" t="s">
        <v>155</v>
      </c>
      <c r="E17" s="23">
        <v>2</v>
      </c>
      <c r="F17" s="23" t="s">
        <v>156</v>
      </c>
      <c r="G17" s="23" t="s">
        <v>142</v>
      </c>
      <c r="H17" s="24"/>
      <c r="I17" s="23"/>
      <c r="J17" s="25">
        <f t="shared" si="0"/>
        <v>2</v>
      </c>
      <c r="K17" s="1"/>
      <c r="L17" s="1" t="s">
        <v>157</v>
      </c>
    </row>
    <row r="18" spans="1:12" ht="40.950000000000003" customHeight="1">
      <c r="A18" s="21" t="s">
        <v>137</v>
      </c>
      <c r="B18" s="22" t="s">
        <v>138</v>
      </c>
      <c r="C18" s="22" t="s">
        <v>158</v>
      </c>
      <c r="D18" s="22" t="s">
        <v>159</v>
      </c>
      <c r="E18" s="23">
        <v>2</v>
      </c>
      <c r="F18" s="23" t="s">
        <v>156</v>
      </c>
      <c r="G18" s="23" t="s">
        <v>142</v>
      </c>
      <c r="H18" s="24"/>
      <c r="I18" s="23"/>
      <c r="J18" s="25">
        <f t="shared" si="0"/>
        <v>2</v>
      </c>
      <c r="K18" s="1"/>
      <c r="L18" s="1" t="s">
        <v>160</v>
      </c>
    </row>
    <row r="19" spans="1:12" ht="40.950000000000003" customHeight="1">
      <c r="A19" s="26" t="s">
        <v>161</v>
      </c>
      <c r="B19" s="27" t="s">
        <v>162</v>
      </c>
      <c r="C19" s="27" t="s">
        <v>163</v>
      </c>
      <c r="D19" s="27" t="s">
        <v>164</v>
      </c>
      <c r="E19" s="28">
        <v>3</v>
      </c>
      <c r="F19" s="28" t="s">
        <v>141</v>
      </c>
      <c r="G19" s="28" t="s">
        <v>142</v>
      </c>
      <c r="H19" s="24"/>
      <c r="I19" s="28"/>
      <c r="J19" s="29">
        <f t="shared" si="0"/>
        <v>3</v>
      </c>
      <c r="K19" s="1"/>
      <c r="L19" s="1" t="s">
        <v>165</v>
      </c>
    </row>
    <row r="20" spans="1:12" ht="40.950000000000003" customHeight="1">
      <c r="A20" s="26" t="s">
        <v>161</v>
      </c>
      <c r="B20" s="27" t="s">
        <v>162</v>
      </c>
      <c r="C20" s="27" t="s">
        <v>166</v>
      </c>
      <c r="D20" s="27" t="s">
        <v>167</v>
      </c>
      <c r="E20" s="28">
        <v>3</v>
      </c>
      <c r="F20" s="28" t="s">
        <v>141</v>
      </c>
      <c r="G20" s="28" t="s">
        <v>142</v>
      </c>
      <c r="H20" s="24"/>
      <c r="I20" s="28"/>
      <c r="J20" s="29">
        <f t="shared" si="0"/>
        <v>3</v>
      </c>
      <c r="K20" s="1"/>
      <c r="L20" s="1" t="s">
        <v>168</v>
      </c>
    </row>
    <row r="21" spans="1:12" ht="40.950000000000003" customHeight="1">
      <c r="A21" s="26" t="s">
        <v>161</v>
      </c>
      <c r="B21" s="27" t="s">
        <v>162</v>
      </c>
      <c r="C21" s="27" t="s">
        <v>169</v>
      </c>
      <c r="D21" s="27" t="s">
        <v>170</v>
      </c>
      <c r="E21" s="28">
        <v>2</v>
      </c>
      <c r="F21" s="28" t="s">
        <v>141</v>
      </c>
      <c r="G21" s="28" t="s">
        <v>142</v>
      </c>
      <c r="H21" s="24"/>
      <c r="I21" s="28"/>
      <c r="J21" s="29">
        <f t="shared" si="0"/>
        <v>2</v>
      </c>
      <c r="K21" s="1"/>
      <c r="L21" s="1" t="s">
        <v>171</v>
      </c>
    </row>
    <row r="22" spans="1:12" ht="40.950000000000003" customHeight="1">
      <c r="A22" s="26" t="s">
        <v>161</v>
      </c>
      <c r="B22" s="27" t="s">
        <v>162</v>
      </c>
      <c r="C22" s="27" t="s">
        <v>172</v>
      </c>
      <c r="D22" s="27" t="s">
        <v>173</v>
      </c>
      <c r="E22" s="28">
        <v>2</v>
      </c>
      <c r="F22" s="28" t="s">
        <v>141</v>
      </c>
      <c r="G22" s="28" t="s">
        <v>142</v>
      </c>
      <c r="H22" s="24"/>
      <c r="I22" s="28"/>
      <c r="J22" s="29">
        <f t="shared" si="0"/>
        <v>2</v>
      </c>
      <c r="K22" s="1"/>
      <c r="L22" s="1" t="s">
        <v>174</v>
      </c>
    </row>
    <row r="23" spans="1:12" ht="40.950000000000003" customHeight="1">
      <c r="A23" s="26" t="s">
        <v>161</v>
      </c>
      <c r="B23" s="27" t="s">
        <v>162</v>
      </c>
      <c r="C23" s="27" t="s">
        <v>175</v>
      </c>
      <c r="D23" s="27" t="s">
        <v>176</v>
      </c>
      <c r="E23" s="28">
        <v>3</v>
      </c>
      <c r="F23" s="28" t="s">
        <v>156</v>
      </c>
      <c r="G23" s="28" t="s">
        <v>177</v>
      </c>
      <c r="H23" s="24"/>
      <c r="I23" s="28"/>
      <c r="J23" s="29">
        <f t="shared" si="0"/>
        <v>3</v>
      </c>
      <c r="K23" s="1"/>
      <c r="L23" s="1" t="s">
        <v>178</v>
      </c>
    </row>
    <row r="24" spans="1:12" ht="40.950000000000003" customHeight="1">
      <c r="A24" s="26" t="s">
        <v>161</v>
      </c>
      <c r="B24" s="27" t="s">
        <v>162</v>
      </c>
      <c r="C24" s="27" t="s">
        <v>179</v>
      </c>
      <c r="D24" s="27" t="s">
        <v>180</v>
      </c>
      <c r="E24" s="28">
        <v>2</v>
      </c>
      <c r="F24" s="28" t="s">
        <v>141</v>
      </c>
      <c r="G24" s="28" t="s">
        <v>142</v>
      </c>
      <c r="H24" s="24"/>
      <c r="I24" s="28"/>
      <c r="J24" s="29">
        <f t="shared" si="0"/>
        <v>2</v>
      </c>
      <c r="K24" s="1"/>
      <c r="L24" s="1" t="s">
        <v>181</v>
      </c>
    </row>
    <row r="25" spans="1:12" ht="27.3" customHeight="1">
      <c r="A25" s="21" t="s">
        <v>182</v>
      </c>
      <c r="B25" s="22" t="s">
        <v>183</v>
      </c>
      <c r="C25" s="22" t="s">
        <v>184</v>
      </c>
      <c r="D25" s="22" t="s">
        <v>185</v>
      </c>
      <c r="E25" s="23">
        <v>5</v>
      </c>
      <c r="F25" s="23" t="s">
        <v>141</v>
      </c>
      <c r="G25" s="23" t="s">
        <v>142</v>
      </c>
      <c r="H25" s="24"/>
      <c r="I25" s="23"/>
      <c r="J25" s="25">
        <f t="shared" si="0"/>
        <v>5</v>
      </c>
      <c r="K25" s="1"/>
      <c r="L25" s="1" t="s">
        <v>186</v>
      </c>
    </row>
    <row r="26" spans="1:12" ht="40.950000000000003" customHeight="1">
      <c r="A26" s="21" t="s">
        <v>182</v>
      </c>
      <c r="B26" s="22" t="s">
        <v>183</v>
      </c>
      <c r="C26" s="22" t="s">
        <v>187</v>
      </c>
      <c r="D26" s="22" t="s">
        <v>188</v>
      </c>
      <c r="E26" s="23">
        <v>4</v>
      </c>
      <c r="F26" s="23" t="s">
        <v>156</v>
      </c>
      <c r="G26" s="23" t="s">
        <v>142</v>
      </c>
      <c r="H26" s="24"/>
      <c r="I26" s="23"/>
      <c r="J26" s="25">
        <f t="shared" si="0"/>
        <v>4</v>
      </c>
      <c r="K26" s="1"/>
      <c r="L26" s="1" t="s">
        <v>189</v>
      </c>
    </row>
    <row r="27" spans="1:12" ht="40.950000000000003" customHeight="1">
      <c r="A27" s="21" t="s">
        <v>182</v>
      </c>
      <c r="B27" s="22" t="s">
        <v>183</v>
      </c>
      <c r="C27" s="22" t="s">
        <v>190</v>
      </c>
      <c r="D27" s="22" t="s">
        <v>191</v>
      </c>
      <c r="E27" s="23">
        <v>3</v>
      </c>
      <c r="F27" s="23" t="s">
        <v>156</v>
      </c>
      <c r="G27" s="23" t="s">
        <v>192</v>
      </c>
      <c r="H27" s="24"/>
      <c r="I27" s="23"/>
      <c r="J27" s="25">
        <f t="shared" si="0"/>
        <v>3</v>
      </c>
      <c r="K27" s="1"/>
      <c r="L27" s="1" t="s">
        <v>193</v>
      </c>
    </row>
    <row r="28" spans="1:12" ht="40.950000000000003" customHeight="1">
      <c r="A28" s="21" t="s">
        <v>182</v>
      </c>
      <c r="B28" s="22" t="s">
        <v>183</v>
      </c>
      <c r="C28" s="22" t="s">
        <v>194</v>
      </c>
      <c r="D28" s="22" t="s">
        <v>195</v>
      </c>
      <c r="E28" s="23">
        <v>3</v>
      </c>
      <c r="F28" s="23" t="s">
        <v>156</v>
      </c>
      <c r="G28" s="23" t="s">
        <v>196</v>
      </c>
      <c r="H28" s="24"/>
      <c r="I28" s="23"/>
      <c r="J28" s="25">
        <f t="shared" si="0"/>
        <v>3</v>
      </c>
      <c r="K28" s="1"/>
      <c r="L28" s="1" t="s">
        <v>197</v>
      </c>
    </row>
    <row r="29" spans="1:12" ht="40.950000000000003" customHeight="1">
      <c r="A29" s="21" t="s">
        <v>182</v>
      </c>
      <c r="B29" s="22" t="s">
        <v>183</v>
      </c>
      <c r="C29" s="22" t="s">
        <v>198</v>
      </c>
      <c r="D29" s="22" t="s">
        <v>199</v>
      </c>
      <c r="E29" s="23">
        <v>3</v>
      </c>
      <c r="F29" s="23" t="s">
        <v>156</v>
      </c>
      <c r="G29" s="23" t="s">
        <v>200</v>
      </c>
      <c r="H29" s="24"/>
      <c r="I29" s="23"/>
      <c r="J29" s="25">
        <f t="shared" si="0"/>
        <v>3</v>
      </c>
      <c r="K29" s="1"/>
      <c r="L29" s="1" t="s">
        <v>201</v>
      </c>
    </row>
    <row r="30" spans="1:12" ht="40.950000000000003" customHeight="1">
      <c r="A30" s="21" t="s">
        <v>182</v>
      </c>
      <c r="B30" s="22" t="s">
        <v>183</v>
      </c>
      <c r="C30" s="22" t="s">
        <v>202</v>
      </c>
      <c r="D30" s="22" t="s">
        <v>203</v>
      </c>
      <c r="E30" s="23">
        <v>2</v>
      </c>
      <c r="F30" s="23" t="s">
        <v>156</v>
      </c>
      <c r="G30" s="23" t="s">
        <v>142</v>
      </c>
      <c r="H30" s="24"/>
      <c r="I30" s="23"/>
      <c r="J30" s="25">
        <f t="shared" si="0"/>
        <v>2</v>
      </c>
      <c r="K30" s="1"/>
      <c r="L30" s="1" t="s">
        <v>204</v>
      </c>
    </row>
    <row r="31" spans="1:12" ht="40.950000000000003" customHeight="1">
      <c r="A31" s="26" t="s">
        <v>205</v>
      </c>
      <c r="B31" s="27" t="s">
        <v>206</v>
      </c>
      <c r="C31" s="27" t="s">
        <v>207</v>
      </c>
      <c r="D31" s="27" t="s">
        <v>208</v>
      </c>
      <c r="E31" s="28">
        <v>3</v>
      </c>
      <c r="F31" s="28" t="s">
        <v>141</v>
      </c>
      <c r="G31" s="28" t="s">
        <v>142</v>
      </c>
      <c r="H31" s="24"/>
      <c r="I31" s="28"/>
      <c r="J31" s="29">
        <f t="shared" si="0"/>
        <v>3</v>
      </c>
      <c r="K31" s="1"/>
      <c r="L31" s="1" t="s">
        <v>209</v>
      </c>
    </row>
    <row r="32" spans="1:12" ht="27.3" customHeight="1">
      <c r="A32" s="26" t="s">
        <v>205</v>
      </c>
      <c r="B32" s="27" t="s">
        <v>206</v>
      </c>
      <c r="C32" s="27" t="s">
        <v>210</v>
      </c>
      <c r="D32" s="27" t="s">
        <v>211</v>
      </c>
      <c r="E32" s="28">
        <v>2</v>
      </c>
      <c r="F32" s="28" t="s">
        <v>156</v>
      </c>
      <c r="G32" s="28" t="s">
        <v>142</v>
      </c>
      <c r="H32" s="24"/>
      <c r="I32" s="28"/>
      <c r="J32" s="29">
        <f t="shared" si="0"/>
        <v>2</v>
      </c>
      <c r="K32" s="1"/>
      <c r="L32" s="1" t="s">
        <v>212</v>
      </c>
    </row>
    <row r="33" spans="1:12" ht="40.950000000000003" customHeight="1">
      <c r="A33" s="26" t="s">
        <v>205</v>
      </c>
      <c r="B33" s="27" t="s">
        <v>206</v>
      </c>
      <c r="C33" s="27" t="s">
        <v>213</v>
      </c>
      <c r="D33" s="27" t="s">
        <v>214</v>
      </c>
      <c r="E33" s="28">
        <v>2</v>
      </c>
      <c r="F33" s="28" t="s">
        <v>156</v>
      </c>
      <c r="G33" s="28" t="s">
        <v>215</v>
      </c>
      <c r="H33" s="24"/>
      <c r="I33" s="28"/>
      <c r="J33" s="29">
        <f t="shared" si="0"/>
        <v>2</v>
      </c>
      <c r="K33" s="1"/>
      <c r="L33" s="1" t="s">
        <v>216</v>
      </c>
    </row>
    <row r="34" spans="1:12" ht="40.950000000000003" customHeight="1">
      <c r="A34" s="26" t="s">
        <v>205</v>
      </c>
      <c r="B34" s="27" t="s">
        <v>206</v>
      </c>
      <c r="C34" s="27" t="s">
        <v>217</v>
      </c>
      <c r="D34" s="27" t="s">
        <v>218</v>
      </c>
      <c r="E34" s="28">
        <v>1</v>
      </c>
      <c r="F34" s="28" t="s">
        <v>156</v>
      </c>
      <c r="G34" s="28" t="s">
        <v>142</v>
      </c>
      <c r="H34" s="24"/>
      <c r="I34" s="28"/>
      <c r="J34" s="29">
        <f t="shared" si="0"/>
        <v>1</v>
      </c>
      <c r="K34" s="1"/>
      <c r="L34" s="1" t="s">
        <v>219</v>
      </c>
    </row>
    <row r="35" spans="1:12" ht="40.950000000000003" customHeight="1">
      <c r="A35" s="26" t="s">
        <v>205</v>
      </c>
      <c r="B35" s="27" t="s">
        <v>206</v>
      </c>
      <c r="C35" s="27" t="s">
        <v>220</v>
      </c>
      <c r="D35" s="27" t="s">
        <v>221</v>
      </c>
      <c r="E35" s="28">
        <v>2</v>
      </c>
      <c r="F35" s="28" t="s">
        <v>156</v>
      </c>
      <c r="G35" s="28" t="s">
        <v>222</v>
      </c>
      <c r="H35" s="24"/>
      <c r="I35" s="28"/>
      <c r="J35" s="29">
        <f t="shared" si="0"/>
        <v>2</v>
      </c>
      <c r="K35" s="1"/>
      <c r="L35" s="1" t="s">
        <v>223</v>
      </c>
    </row>
    <row r="36" spans="1:12" ht="40.950000000000003" customHeight="1">
      <c r="A36" s="21" t="s">
        <v>224</v>
      </c>
      <c r="B36" s="22" t="s">
        <v>225</v>
      </c>
      <c r="C36" s="22" t="s">
        <v>226</v>
      </c>
      <c r="D36" s="22" t="s">
        <v>227</v>
      </c>
      <c r="E36" s="23">
        <v>3</v>
      </c>
      <c r="F36" s="23" t="s">
        <v>141</v>
      </c>
      <c r="G36" s="23" t="s">
        <v>142</v>
      </c>
      <c r="H36" s="24"/>
      <c r="I36" s="23"/>
      <c r="J36" s="25">
        <f t="shared" si="0"/>
        <v>3</v>
      </c>
      <c r="K36" s="1"/>
      <c r="L36" s="1" t="s">
        <v>228</v>
      </c>
    </row>
    <row r="37" spans="1:12" ht="27.3" customHeight="1">
      <c r="A37" s="21" t="s">
        <v>224</v>
      </c>
      <c r="B37" s="22" t="s">
        <v>225</v>
      </c>
      <c r="C37" s="22" t="s">
        <v>229</v>
      </c>
      <c r="D37" s="22" t="s">
        <v>230</v>
      </c>
      <c r="E37" s="23">
        <v>2</v>
      </c>
      <c r="F37" s="23" t="s">
        <v>156</v>
      </c>
      <c r="G37" s="23" t="s">
        <v>142</v>
      </c>
      <c r="H37" s="24"/>
      <c r="I37" s="23"/>
      <c r="J37" s="25">
        <f t="shared" si="0"/>
        <v>2</v>
      </c>
      <c r="K37" s="1"/>
      <c r="L37" s="1" t="s">
        <v>231</v>
      </c>
    </row>
    <row r="38" spans="1:12" ht="27.3" customHeight="1">
      <c r="A38" s="21" t="s">
        <v>224</v>
      </c>
      <c r="B38" s="22" t="s">
        <v>225</v>
      </c>
      <c r="C38" s="22" t="s">
        <v>232</v>
      </c>
      <c r="D38" s="22" t="s">
        <v>233</v>
      </c>
      <c r="E38" s="23">
        <v>2</v>
      </c>
      <c r="F38" s="23" t="s">
        <v>141</v>
      </c>
      <c r="G38" s="23" t="s">
        <v>142</v>
      </c>
      <c r="H38" s="24"/>
      <c r="I38" s="23"/>
      <c r="J38" s="25">
        <f t="shared" si="0"/>
        <v>2</v>
      </c>
      <c r="K38" s="1"/>
      <c r="L38" s="1" t="s">
        <v>234</v>
      </c>
    </row>
    <row r="39" spans="1:12" ht="27.3" customHeight="1">
      <c r="A39" s="21" t="s">
        <v>224</v>
      </c>
      <c r="B39" s="22" t="s">
        <v>225</v>
      </c>
      <c r="C39" s="22" t="s">
        <v>235</v>
      </c>
      <c r="D39" s="22" t="s">
        <v>236</v>
      </c>
      <c r="E39" s="23">
        <v>1</v>
      </c>
      <c r="F39" s="23" t="s">
        <v>156</v>
      </c>
      <c r="G39" s="23" t="s">
        <v>142</v>
      </c>
      <c r="H39" s="24"/>
      <c r="I39" s="23"/>
      <c r="J39" s="25">
        <f t="shared" si="0"/>
        <v>1</v>
      </c>
      <c r="K39" s="1"/>
      <c r="L39" s="1" t="s">
        <v>237</v>
      </c>
    </row>
    <row r="40" spans="1:12" ht="27.3" customHeight="1">
      <c r="A40" s="21" t="s">
        <v>224</v>
      </c>
      <c r="B40" s="22" t="s">
        <v>225</v>
      </c>
      <c r="C40" s="22" t="s">
        <v>238</v>
      </c>
      <c r="D40" s="22" t="s">
        <v>239</v>
      </c>
      <c r="E40" s="23">
        <v>2</v>
      </c>
      <c r="F40" s="23" t="s">
        <v>156</v>
      </c>
      <c r="G40" s="23" t="s">
        <v>142</v>
      </c>
      <c r="H40" s="24"/>
      <c r="I40" s="23"/>
      <c r="J40" s="25">
        <f t="shared" si="0"/>
        <v>2</v>
      </c>
      <c r="K40" s="1"/>
      <c r="L40" s="1" t="s">
        <v>240</v>
      </c>
    </row>
    <row r="41" spans="1:12" ht="27.3" customHeight="1">
      <c r="A41" s="26" t="s">
        <v>241</v>
      </c>
      <c r="B41" s="27" t="s">
        <v>242</v>
      </c>
      <c r="C41" s="27" t="s">
        <v>243</v>
      </c>
      <c r="D41" s="27" t="s">
        <v>244</v>
      </c>
      <c r="E41" s="28">
        <v>3</v>
      </c>
      <c r="F41" s="28" t="s">
        <v>141</v>
      </c>
      <c r="G41" s="28" t="s">
        <v>142</v>
      </c>
      <c r="H41" s="24"/>
      <c r="I41" s="28"/>
      <c r="J41" s="29">
        <f t="shared" si="0"/>
        <v>3</v>
      </c>
      <c r="K41" s="1"/>
      <c r="L41" s="1" t="s">
        <v>245</v>
      </c>
    </row>
    <row r="42" spans="1:12" ht="27.3" customHeight="1">
      <c r="A42" s="26" t="s">
        <v>241</v>
      </c>
      <c r="B42" s="27" t="s">
        <v>242</v>
      </c>
      <c r="C42" s="27" t="s">
        <v>246</v>
      </c>
      <c r="D42" s="27" t="s">
        <v>247</v>
      </c>
      <c r="E42" s="28">
        <v>2</v>
      </c>
      <c r="F42" s="28" t="s">
        <v>156</v>
      </c>
      <c r="G42" s="28" t="s">
        <v>142</v>
      </c>
      <c r="H42" s="24"/>
      <c r="I42" s="28"/>
      <c r="J42" s="29">
        <f t="shared" si="0"/>
        <v>2</v>
      </c>
      <c r="K42" s="1"/>
      <c r="L42" s="1" t="s">
        <v>248</v>
      </c>
    </row>
    <row r="43" spans="1:12" ht="40.950000000000003" customHeight="1">
      <c r="A43" s="26" t="s">
        <v>241</v>
      </c>
      <c r="B43" s="27" t="s">
        <v>242</v>
      </c>
      <c r="C43" s="27" t="s">
        <v>249</v>
      </c>
      <c r="D43" s="27" t="s">
        <v>250</v>
      </c>
      <c r="E43" s="28">
        <v>2</v>
      </c>
      <c r="F43" s="28" t="s">
        <v>156</v>
      </c>
      <c r="G43" s="28" t="s">
        <v>142</v>
      </c>
      <c r="H43" s="24"/>
      <c r="I43" s="28"/>
      <c r="J43" s="29">
        <f t="shared" si="0"/>
        <v>2</v>
      </c>
      <c r="K43" s="1"/>
      <c r="L43" s="1" t="s">
        <v>251</v>
      </c>
    </row>
    <row r="44" spans="1:12" ht="40.950000000000003" customHeight="1">
      <c r="A44" s="26" t="s">
        <v>241</v>
      </c>
      <c r="B44" s="27" t="s">
        <v>242</v>
      </c>
      <c r="C44" s="27" t="s">
        <v>252</v>
      </c>
      <c r="D44" s="27" t="s">
        <v>253</v>
      </c>
      <c r="E44" s="28">
        <v>1</v>
      </c>
      <c r="F44" s="28" t="s">
        <v>141</v>
      </c>
      <c r="G44" s="28" t="s">
        <v>142</v>
      </c>
      <c r="H44" s="24"/>
      <c r="I44" s="28"/>
      <c r="J44" s="29">
        <f t="shared" si="0"/>
        <v>1</v>
      </c>
      <c r="K44" s="1"/>
      <c r="L44" s="1" t="s">
        <v>254</v>
      </c>
    </row>
    <row r="45" spans="1:12" ht="27.3" customHeight="1">
      <c r="A45" s="26" t="s">
        <v>241</v>
      </c>
      <c r="B45" s="27" t="s">
        <v>242</v>
      </c>
      <c r="C45" s="27" t="s">
        <v>255</v>
      </c>
      <c r="D45" s="27" t="s">
        <v>256</v>
      </c>
      <c r="E45" s="28">
        <v>2</v>
      </c>
      <c r="F45" s="28" t="s">
        <v>141</v>
      </c>
      <c r="G45" s="28" t="s">
        <v>142</v>
      </c>
      <c r="H45" s="24"/>
      <c r="I45" s="28"/>
      <c r="J45" s="29">
        <f t="shared" si="0"/>
        <v>2</v>
      </c>
      <c r="K45" s="1"/>
      <c r="L45" s="1" t="s">
        <v>257</v>
      </c>
    </row>
    <row r="46" spans="1:12" ht="27.3" customHeight="1">
      <c r="A46" s="21" t="s">
        <v>258</v>
      </c>
      <c r="B46" s="22" t="s">
        <v>259</v>
      </c>
      <c r="C46" s="22" t="s">
        <v>260</v>
      </c>
      <c r="D46" s="22" t="s">
        <v>261</v>
      </c>
      <c r="E46" s="23">
        <v>3</v>
      </c>
      <c r="F46" s="23" t="s">
        <v>156</v>
      </c>
      <c r="G46" s="23" t="s">
        <v>142</v>
      </c>
      <c r="H46" s="24"/>
      <c r="I46" s="23"/>
      <c r="J46" s="25">
        <f t="shared" si="0"/>
        <v>3</v>
      </c>
      <c r="K46" s="1"/>
      <c r="L46" s="1" t="s">
        <v>262</v>
      </c>
    </row>
    <row r="47" spans="1:12" ht="40.950000000000003" customHeight="1">
      <c r="A47" s="21" t="s">
        <v>258</v>
      </c>
      <c r="B47" s="22" t="s">
        <v>259</v>
      </c>
      <c r="C47" s="22" t="s">
        <v>263</v>
      </c>
      <c r="D47" s="22" t="s">
        <v>264</v>
      </c>
      <c r="E47" s="23">
        <v>2</v>
      </c>
      <c r="F47" s="23" t="s">
        <v>141</v>
      </c>
      <c r="G47" s="23" t="s">
        <v>142</v>
      </c>
      <c r="H47" s="24"/>
      <c r="I47" s="23"/>
      <c r="J47" s="25">
        <f t="shared" si="0"/>
        <v>2</v>
      </c>
      <c r="K47" s="1"/>
      <c r="L47" s="1" t="s">
        <v>265</v>
      </c>
    </row>
    <row r="48" spans="1:12" ht="27.3" customHeight="1">
      <c r="A48" s="21" t="s">
        <v>258</v>
      </c>
      <c r="B48" s="22" t="s">
        <v>259</v>
      </c>
      <c r="C48" s="22" t="s">
        <v>266</v>
      </c>
      <c r="D48" s="22" t="s">
        <v>267</v>
      </c>
      <c r="E48" s="23">
        <v>3</v>
      </c>
      <c r="F48" s="23" t="s">
        <v>156</v>
      </c>
      <c r="G48" s="23" t="s">
        <v>142</v>
      </c>
      <c r="H48" s="24"/>
      <c r="I48" s="23"/>
      <c r="J48" s="25">
        <f t="shared" si="0"/>
        <v>3</v>
      </c>
      <c r="K48" s="1"/>
      <c r="L48" s="1" t="s">
        <v>268</v>
      </c>
    </row>
    <row r="49" spans="1:12" ht="40.950000000000003" customHeight="1">
      <c r="A49" s="21" t="s">
        <v>258</v>
      </c>
      <c r="B49" s="22" t="s">
        <v>259</v>
      </c>
      <c r="C49" s="22" t="s">
        <v>269</v>
      </c>
      <c r="D49" s="22" t="s">
        <v>270</v>
      </c>
      <c r="E49" s="23">
        <v>2</v>
      </c>
      <c r="F49" s="23" t="s">
        <v>156</v>
      </c>
      <c r="G49" s="23" t="s">
        <v>142</v>
      </c>
      <c r="H49" s="24"/>
      <c r="I49" s="23"/>
      <c r="J49" s="25">
        <f t="shared" si="0"/>
        <v>2</v>
      </c>
      <c r="K49" s="1"/>
      <c r="L49" s="1" t="s">
        <v>271</v>
      </c>
    </row>
    <row r="50" spans="1:12" ht="40.950000000000003" customHeight="1">
      <c r="A50" s="26" t="s">
        <v>272</v>
      </c>
      <c r="B50" s="27" t="s">
        <v>273</v>
      </c>
      <c r="C50" s="27" t="s">
        <v>274</v>
      </c>
      <c r="D50" s="27" t="s">
        <v>275</v>
      </c>
      <c r="E50" s="28">
        <v>4</v>
      </c>
      <c r="F50" s="28" t="s">
        <v>141</v>
      </c>
      <c r="G50" s="28" t="s">
        <v>142</v>
      </c>
      <c r="H50" s="24"/>
      <c r="I50" s="28"/>
      <c r="J50" s="29">
        <f t="shared" si="0"/>
        <v>4</v>
      </c>
      <c r="K50" s="1"/>
      <c r="L50" s="1" t="s">
        <v>276</v>
      </c>
    </row>
    <row r="51" spans="1:12" ht="40.950000000000003" customHeight="1">
      <c r="A51" s="26" t="s">
        <v>272</v>
      </c>
      <c r="B51" s="27" t="s">
        <v>273</v>
      </c>
      <c r="C51" s="27" t="s">
        <v>277</v>
      </c>
      <c r="D51" s="27" t="s">
        <v>278</v>
      </c>
      <c r="E51" s="28">
        <v>3</v>
      </c>
      <c r="F51" s="28" t="s">
        <v>156</v>
      </c>
      <c r="G51" s="28" t="s">
        <v>279</v>
      </c>
      <c r="H51" s="24"/>
      <c r="I51" s="28"/>
      <c r="J51" s="29">
        <f t="shared" si="0"/>
        <v>3</v>
      </c>
      <c r="K51" s="1"/>
      <c r="L51" s="1" t="s">
        <v>280</v>
      </c>
    </row>
    <row r="52" spans="1:12" ht="40.950000000000003" customHeight="1">
      <c r="A52" s="30" t="s">
        <v>272</v>
      </c>
      <c r="B52" s="31" t="s">
        <v>273</v>
      </c>
      <c r="C52" s="31" t="s">
        <v>281</v>
      </c>
      <c r="D52" s="31" t="s">
        <v>282</v>
      </c>
      <c r="E52" s="32">
        <v>3</v>
      </c>
      <c r="F52" s="32" t="s">
        <v>156</v>
      </c>
      <c r="G52" s="32" t="s">
        <v>283</v>
      </c>
      <c r="H52" s="33"/>
      <c r="I52" s="32"/>
      <c r="J52" s="34">
        <f t="shared" si="0"/>
        <v>3</v>
      </c>
      <c r="K52" s="1"/>
      <c r="L52" s="1" t="s">
        <v>284</v>
      </c>
    </row>
    <row r="53" spans="1:12" ht="13.6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1"/>
      <c r="L53" s="1" t="s">
        <v>285</v>
      </c>
    </row>
    <row r="54" spans="1:12" ht="13.65" customHeight="1">
      <c r="A54" s="7" t="s">
        <v>286</v>
      </c>
      <c r="B54" s="7" t="s">
        <v>287</v>
      </c>
      <c r="C54" s="7" t="s">
        <v>288</v>
      </c>
      <c r="D54" s="7"/>
      <c r="E54" s="7"/>
      <c r="F54" s="7"/>
      <c r="G54" s="7"/>
      <c r="H54" s="7"/>
      <c r="I54" s="7"/>
      <c r="J54" s="7"/>
      <c r="K54" s="1"/>
      <c r="L54" s="1" t="s">
        <v>289</v>
      </c>
    </row>
    <row r="55" spans="1:12" ht="13.65" customHeight="1">
      <c r="A55" s="7" t="s">
        <v>290</v>
      </c>
      <c r="B55" s="7"/>
      <c r="C55" s="7">
        <f>SUM(E13:E52)</f>
        <v>100</v>
      </c>
      <c r="D55" s="7"/>
      <c r="E55" s="7"/>
      <c r="F55" s="7"/>
      <c r="G55" s="7"/>
      <c r="H55" s="7"/>
      <c r="I55" s="7"/>
      <c r="J55" s="7"/>
      <c r="K55" s="1"/>
      <c r="L55" s="1" t="s">
        <v>291</v>
      </c>
    </row>
    <row r="56" spans="1:12" ht="13.65" customHeight="1">
      <c r="A56" s="7" t="s">
        <v>292</v>
      </c>
      <c r="B56" s="7"/>
      <c r="C56" s="7">
        <f>SUM(H13:H52)</f>
        <v>0</v>
      </c>
      <c r="D56" s="7"/>
      <c r="E56" s="7"/>
      <c r="F56" s="7"/>
      <c r="G56" s="7"/>
      <c r="H56" s="7"/>
      <c r="I56" s="7"/>
      <c r="J56" s="7"/>
      <c r="K56" s="1"/>
      <c r="L56" s="1" t="s">
        <v>293</v>
      </c>
    </row>
    <row r="57" spans="1:12" ht="13.6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2" ht="13.6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2" ht="13.6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2" ht="13.6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2" ht="13.6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2" ht="13.6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2" ht="13.6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2" ht="13.6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.6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.6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.6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.6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.6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.6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.6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.6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.6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.6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.6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.6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.6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.6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.6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.6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.6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.6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.6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.6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.6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.6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.6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.6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.6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.6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.6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.6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.6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.6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.6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.6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.6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.6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.6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.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3.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3.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3.6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3.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3.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3.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3.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3.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3.6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3.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3.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3.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3.6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3.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3.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3.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3.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3.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3.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3.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3.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3.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3.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3.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3.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3.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3.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3.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3.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3.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3.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3.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3.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3.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3.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3.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3.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3.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3.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3.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3.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3.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3.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3.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3.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3.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3.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3.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3.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3.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3.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3.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3.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3.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3.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3.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3.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3.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3.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3.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3.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3.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3.6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3.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3.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3.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3.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3.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3.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3.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3.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3.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3.6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3.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3.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3.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3.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3.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3.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3.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3.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3.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3.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3.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3.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3.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3.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3.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3.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3.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3.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3.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3.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3.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3.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3.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3.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3.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3.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3.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3.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3.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3.6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3.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3.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3.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3.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3.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3.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3.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3.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3.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3.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3.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3.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3.6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3.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3.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3.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3.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3.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3.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3.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3.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3.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3.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3.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3.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3.6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3.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3.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3.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3.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3.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3.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3.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3.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3.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3.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3.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3.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3.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3.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3.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3.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3.6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3.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3.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3.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3.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</sheetData>
  <mergeCells count="2">
    <mergeCell ref="A1:J1"/>
    <mergeCell ref="A2:J2"/>
  </mergeCells>
  <conditionalFormatting sqref="F13:F52">
    <cfRule type="expression" dxfId="1" priority="2">
      <formula>F13="Yes"</formula>
    </cfRule>
  </conditionalFormatting>
  <conditionalFormatting sqref="H13:H5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H13:H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J56">
    <cfRule type="dataBar" priority="4">
      <dataBar>
        <cfvo type="min"/>
        <cfvo type="max"/>
        <color rgb="FF5B9BD5"/>
      </dataBar>
    </cfRule>
  </conditionalFormatting>
  <dataValidations count="1">
    <dataValidation type="list" sqref="H13:H56" xr:uid="{00000000-0002-0000-0200-000002000000}">
      <formula1>"0,1,2,3,4,5,6,7,8,9,10"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Categories!$A$5:$A$12</xm:f>
          </x14:formula1>
          <xm:sqref>B6</xm:sqref>
        </x14:dataValidation>
        <x14:dataValidation type="list" xr:uid="{00000000-0002-0000-0200-000001000000}">
          <x14:formula1>
            <xm:f>'Product Types'!$B$3:$B$20</xm:f>
          </x14:formula1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0"/>
  <sheetViews>
    <sheetView topLeftCell="C10" workbookViewId="0">
      <selection activeCell="D15" sqref="D15"/>
    </sheetView>
  </sheetViews>
  <sheetFormatPr defaultRowHeight="13.8"/>
  <cols>
    <col min="1" max="1" width="25.09765625" customWidth="1"/>
    <col min="2" max="2" width="44.296875" customWidth="1"/>
    <col min="3" max="3" width="58.296875" customWidth="1"/>
    <col min="4" max="4" width="105.59765625" customWidth="1"/>
    <col min="5" max="5" width="11.8984375" customWidth="1"/>
    <col min="6" max="6" width="8.59765625" customWidth="1"/>
    <col min="7" max="7" width="66.8984375" customWidth="1"/>
    <col min="8" max="8" width="16.09765625" customWidth="1"/>
    <col min="9" max="9" width="9.296875" customWidth="1"/>
    <col min="10" max="10" width="4.296875" customWidth="1"/>
    <col min="11" max="11" width="20.296875" customWidth="1"/>
    <col min="12" max="12" width="63.09765625" customWidth="1"/>
  </cols>
  <sheetData>
    <row r="1" spans="1:12" ht="13.65" customHeight="1">
      <c r="A1" s="75" t="s">
        <v>294</v>
      </c>
      <c r="B1" s="72"/>
      <c r="C1" s="72"/>
      <c r="D1" s="72"/>
      <c r="E1" s="72"/>
      <c r="F1" s="72"/>
      <c r="G1" s="72"/>
      <c r="H1" s="72"/>
      <c r="I1" s="72"/>
      <c r="J1" s="72"/>
      <c r="K1" s="1"/>
      <c r="L1" s="1"/>
    </row>
    <row r="2" spans="1:12" ht="13.65" customHeight="1">
      <c r="A2" s="71" t="s">
        <v>295</v>
      </c>
      <c r="B2" s="72"/>
      <c r="C2" s="72"/>
      <c r="D2" s="72"/>
      <c r="E2" s="72"/>
      <c r="F2" s="72"/>
      <c r="G2" s="72"/>
      <c r="H2" s="72"/>
      <c r="I2" s="72"/>
      <c r="J2" s="72"/>
      <c r="K2" s="1"/>
      <c r="L2" s="1"/>
    </row>
    <row r="3" spans="1:12" ht="13.6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1"/>
      <c r="L3" s="1"/>
    </row>
    <row r="4" spans="1:12" ht="40.950000000000003" customHeight="1">
      <c r="A4" s="12" t="s">
        <v>110</v>
      </c>
      <c r="B4" s="54"/>
      <c r="C4" s="7"/>
      <c r="D4" s="7"/>
      <c r="E4" s="7"/>
      <c r="F4" s="62" t="s">
        <v>111</v>
      </c>
      <c r="G4" s="66"/>
      <c r="H4" s="7"/>
      <c r="I4" s="7"/>
      <c r="J4" s="7"/>
      <c r="K4" s="1"/>
      <c r="L4" s="1"/>
    </row>
    <row r="5" spans="1:12" ht="27.3" customHeight="1">
      <c r="A5" s="13" t="s">
        <v>112</v>
      </c>
      <c r="B5" s="55" t="s">
        <v>296</v>
      </c>
      <c r="C5" s="7"/>
      <c r="D5" s="7"/>
      <c r="E5" s="7"/>
      <c r="F5" s="63" t="s">
        <v>114</v>
      </c>
      <c r="G5" s="67">
        <f>SUM(E13:E200)</f>
        <v>100</v>
      </c>
      <c r="H5" s="7"/>
      <c r="I5" s="7"/>
      <c r="J5" s="7"/>
      <c r="K5" s="1"/>
      <c r="L5" s="1"/>
    </row>
    <row r="6" spans="1:12" ht="27.3" customHeight="1">
      <c r="A6" s="13" t="s">
        <v>115</v>
      </c>
      <c r="B6" s="55"/>
      <c r="C6" s="7"/>
      <c r="D6" s="7"/>
      <c r="E6" s="7"/>
      <c r="F6" s="63" t="s">
        <v>116</v>
      </c>
      <c r="G6" s="67">
        <f>SUM(H13:H200)</f>
        <v>0</v>
      </c>
      <c r="H6" s="7"/>
      <c r="I6" s="7"/>
      <c r="J6" s="7"/>
      <c r="K6" s="1"/>
      <c r="L6" s="1"/>
    </row>
    <row r="7" spans="1:12" ht="13.65" customHeight="1">
      <c r="A7" s="13" t="s">
        <v>117</v>
      </c>
      <c r="B7" s="55"/>
      <c r="C7" s="7"/>
      <c r="D7" s="7"/>
      <c r="E7" s="7"/>
      <c r="F7" s="63" t="s">
        <v>118</v>
      </c>
      <c r="G7" s="68">
        <f>IF(G5=0,0,G6/G5)</f>
        <v>0</v>
      </c>
      <c r="H7" s="7"/>
      <c r="I7" s="7"/>
      <c r="J7" s="7"/>
      <c r="K7" s="1"/>
      <c r="L7" s="1"/>
    </row>
    <row r="8" spans="1:12" ht="40.950000000000003" customHeight="1">
      <c r="A8" s="13" t="s">
        <v>119</v>
      </c>
      <c r="B8" s="56"/>
      <c r="C8" s="7"/>
      <c r="D8" s="7"/>
      <c r="E8" s="7"/>
      <c r="F8" s="63" t="s">
        <v>120</v>
      </c>
      <c r="G8" s="67">
        <f>COUNTIFS(F13:F200,"Yes",H13:H200,0)</f>
        <v>0</v>
      </c>
      <c r="H8" s="7"/>
      <c r="I8" s="7"/>
      <c r="J8" s="7"/>
      <c r="K8" s="1"/>
      <c r="L8" s="1"/>
    </row>
    <row r="9" spans="1:12" ht="40.950000000000003" customHeight="1">
      <c r="A9" s="14" t="s">
        <v>121</v>
      </c>
      <c r="B9" s="15"/>
      <c r="C9" s="7"/>
      <c r="D9" s="7"/>
      <c r="E9" s="7"/>
      <c r="F9" s="63" t="s">
        <v>122</v>
      </c>
      <c r="G9" s="67" t="str">
        <f>IF(G8&gt;0,"Rejected - Critical Failure",IF(G6&lt;30,"Rejected",IF(G6&lt;65,"Verification Done - Certification Not Granted",IF(G6&lt;75,"Conditional",IF(G6&lt;85,"Certified",IF(G6&lt;95,"Gold Verified","Platinum Verified"))))))</f>
        <v>Rejected</v>
      </c>
      <c r="H9" s="7"/>
      <c r="I9" s="7"/>
      <c r="J9" s="7"/>
      <c r="K9" s="1"/>
      <c r="L9" s="1"/>
    </row>
    <row r="10" spans="1:12" ht="27.3" customHeight="1">
      <c r="A10" s="61" t="s">
        <v>123</v>
      </c>
      <c r="B10" s="7" t="s">
        <v>124</v>
      </c>
      <c r="C10" s="7"/>
      <c r="D10" s="7"/>
      <c r="E10" s="7"/>
      <c r="F10" s="64" t="s">
        <v>4</v>
      </c>
      <c r="G10" s="65" t="s">
        <v>125</v>
      </c>
      <c r="H10" s="7"/>
      <c r="I10" s="7"/>
      <c r="J10" s="7"/>
      <c r="K10" s="1"/>
      <c r="L10" s="1"/>
    </row>
    <row r="11" spans="1:12" ht="13.6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2" s="83" customFormat="1" ht="27.3" customHeight="1">
      <c r="A12" s="79" t="s">
        <v>126</v>
      </c>
      <c r="B12" s="80" t="s">
        <v>127</v>
      </c>
      <c r="C12" s="80" t="s">
        <v>128</v>
      </c>
      <c r="D12" s="80" t="s">
        <v>129</v>
      </c>
      <c r="E12" s="80" t="s">
        <v>130</v>
      </c>
      <c r="F12" s="80" t="s">
        <v>131</v>
      </c>
      <c r="G12" s="80" t="s">
        <v>132</v>
      </c>
      <c r="H12" s="80" t="s">
        <v>116</v>
      </c>
      <c r="I12" s="80" t="s">
        <v>133</v>
      </c>
      <c r="J12" s="81" t="s">
        <v>134</v>
      </c>
      <c r="K12" s="82" t="s">
        <v>135</v>
      </c>
      <c r="L12" s="82" t="s">
        <v>136</v>
      </c>
    </row>
    <row r="13" spans="1:12" ht="40.950000000000003" customHeight="1">
      <c r="A13" s="16" t="s">
        <v>297</v>
      </c>
      <c r="B13" s="17" t="s">
        <v>298</v>
      </c>
      <c r="C13" s="17" t="s">
        <v>299</v>
      </c>
      <c r="D13" s="17" t="s">
        <v>300</v>
      </c>
      <c r="E13" s="18">
        <v>5</v>
      </c>
      <c r="F13" s="18" t="s">
        <v>141</v>
      </c>
      <c r="G13" s="18" t="s">
        <v>301</v>
      </c>
      <c r="H13" s="19"/>
      <c r="I13" s="18"/>
      <c r="J13" s="20">
        <f t="shared" ref="J13:J45" si="0">E13-H13</f>
        <v>5</v>
      </c>
      <c r="K13" s="1"/>
      <c r="L13" s="1" t="s">
        <v>302</v>
      </c>
    </row>
    <row r="14" spans="1:12" ht="40.950000000000003" customHeight="1">
      <c r="A14" s="21" t="s">
        <v>297</v>
      </c>
      <c r="B14" s="22" t="s">
        <v>298</v>
      </c>
      <c r="C14" s="22" t="s">
        <v>303</v>
      </c>
      <c r="D14" s="22" t="s">
        <v>304</v>
      </c>
      <c r="E14" s="23">
        <v>4</v>
      </c>
      <c r="F14" s="23" t="s">
        <v>141</v>
      </c>
      <c r="G14" s="23" t="s">
        <v>301</v>
      </c>
      <c r="H14" s="24"/>
      <c r="I14" s="23"/>
      <c r="J14" s="25">
        <f t="shared" si="0"/>
        <v>4</v>
      </c>
      <c r="K14" s="1"/>
      <c r="L14" s="1" t="s">
        <v>305</v>
      </c>
    </row>
    <row r="15" spans="1:12" ht="40.950000000000003" customHeight="1">
      <c r="A15" s="21" t="s">
        <v>297</v>
      </c>
      <c r="B15" s="22" t="s">
        <v>298</v>
      </c>
      <c r="C15" s="22" t="s">
        <v>306</v>
      </c>
      <c r="D15" s="22" t="s">
        <v>307</v>
      </c>
      <c r="E15" s="23">
        <v>3</v>
      </c>
      <c r="F15" s="23" t="s">
        <v>141</v>
      </c>
      <c r="G15" s="23" t="s">
        <v>301</v>
      </c>
      <c r="H15" s="24"/>
      <c r="I15" s="23"/>
      <c r="J15" s="25">
        <f t="shared" si="0"/>
        <v>3</v>
      </c>
      <c r="K15" s="1"/>
      <c r="L15" s="1" t="s">
        <v>308</v>
      </c>
    </row>
    <row r="16" spans="1:12" ht="40.950000000000003" customHeight="1">
      <c r="A16" s="21" t="s">
        <v>297</v>
      </c>
      <c r="B16" s="22" t="s">
        <v>298</v>
      </c>
      <c r="C16" s="22" t="s">
        <v>309</v>
      </c>
      <c r="D16" s="22" t="s">
        <v>310</v>
      </c>
      <c r="E16" s="23">
        <v>3</v>
      </c>
      <c r="F16" s="23" t="s">
        <v>156</v>
      </c>
      <c r="G16" s="23" t="s">
        <v>311</v>
      </c>
      <c r="H16" s="24"/>
      <c r="I16" s="23"/>
      <c r="J16" s="25">
        <f t="shared" si="0"/>
        <v>3</v>
      </c>
      <c r="K16" s="1"/>
      <c r="L16" s="1" t="s">
        <v>312</v>
      </c>
    </row>
    <row r="17" spans="1:12" ht="40.950000000000003" customHeight="1">
      <c r="A17" s="21" t="s">
        <v>297</v>
      </c>
      <c r="B17" s="22" t="s">
        <v>298</v>
      </c>
      <c r="C17" s="22" t="s">
        <v>313</v>
      </c>
      <c r="D17" s="22" t="s">
        <v>314</v>
      </c>
      <c r="E17" s="23">
        <v>3</v>
      </c>
      <c r="F17" s="23" t="s">
        <v>141</v>
      </c>
      <c r="G17" s="23" t="s">
        <v>301</v>
      </c>
      <c r="H17" s="24"/>
      <c r="I17" s="23"/>
      <c r="J17" s="25">
        <f t="shared" si="0"/>
        <v>3</v>
      </c>
      <c r="K17" s="1"/>
      <c r="L17" s="1" t="s">
        <v>315</v>
      </c>
    </row>
    <row r="18" spans="1:12" ht="40.950000000000003" customHeight="1">
      <c r="A18" s="21" t="s">
        <v>297</v>
      </c>
      <c r="B18" s="22" t="s">
        <v>298</v>
      </c>
      <c r="C18" s="22" t="s">
        <v>316</v>
      </c>
      <c r="D18" s="22" t="s">
        <v>317</v>
      </c>
      <c r="E18" s="23">
        <v>2</v>
      </c>
      <c r="F18" s="23" t="s">
        <v>156</v>
      </c>
      <c r="G18" s="23" t="s">
        <v>318</v>
      </c>
      <c r="H18" s="24"/>
      <c r="I18" s="23"/>
      <c r="J18" s="25">
        <f t="shared" si="0"/>
        <v>2</v>
      </c>
      <c r="K18" s="1"/>
      <c r="L18" s="1" t="s">
        <v>319</v>
      </c>
    </row>
    <row r="19" spans="1:12" ht="40.950000000000003" customHeight="1">
      <c r="A19" s="26" t="s">
        <v>320</v>
      </c>
      <c r="B19" s="27" t="s">
        <v>321</v>
      </c>
      <c r="C19" s="27" t="s">
        <v>322</v>
      </c>
      <c r="D19" s="27" t="s">
        <v>323</v>
      </c>
      <c r="E19" s="28">
        <v>4</v>
      </c>
      <c r="F19" s="28" t="s">
        <v>141</v>
      </c>
      <c r="G19" s="28" t="s">
        <v>301</v>
      </c>
      <c r="H19" s="24"/>
      <c r="I19" s="28"/>
      <c r="J19" s="29">
        <f t="shared" si="0"/>
        <v>4</v>
      </c>
      <c r="K19" s="1"/>
      <c r="L19" s="1" t="s">
        <v>324</v>
      </c>
    </row>
    <row r="20" spans="1:12" ht="40.950000000000003" customHeight="1">
      <c r="A20" s="26" t="s">
        <v>320</v>
      </c>
      <c r="B20" s="27" t="s">
        <v>321</v>
      </c>
      <c r="C20" s="27" t="s">
        <v>325</v>
      </c>
      <c r="D20" s="27" t="s">
        <v>326</v>
      </c>
      <c r="E20" s="28">
        <v>4</v>
      </c>
      <c r="F20" s="28" t="s">
        <v>141</v>
      </c>
      <c r="G20" s="28" t="s">
        <v>301</v>
      </c>
      <c r="H20" s="24"/>
      <c r="I20" s="28"/>
      <c r="J20" s="29">
        <f t="shared" si="0"/>
        <v>4</v>
      </c>
      <c r="K20" s="1"/>
      <c r="L20" s="1" t="s">
        <v>327</v>
      </c>
    </row>
    <row r="21" spans="1:12" ht="40.950000000000003" customHeight="1">
      <c r="A21" s="26" t="s">
        <v>320</v>
      </c>
      <c r="B21" s="27" t="s">
        <v>321</v>
      </c>
      <c r="C21" s="27" t="s">
        <v>328</v>
      </c>
      <c r="D21" s="27" t="s">
        <v>329</v>
      </c>
      <c r="E21" s="28">
        <v>3</v>
      </c>
      <c r="F21" s="28" t="s">
        <v>156</v>
      </c>
      <c r="G21" s="28" t="s">
        <v>330</v>
      </c>
      <c r="H21" s="24"/>
      <c r="I21" s="28"/>
      <c r="J21" s="29">
        <f t="shared" si="0"/>
        <v>3</v>
      </c>
      <c r="K21" s="1"/>
      <c r="L21" s="1" t="s">
        <v>331</v>
      </c>
    </row>
    <row r="22" spans="1:12" ht="27.3" customHeight="1">
      <c r="A22" s="26" t="s">
        <v>320</v>
      </c>
      <c r="B22" s="27" t="s">
        <v>321</v>
      </c>
      <c r="C22" s="27" t="s">
        <v>332</v>
      </c>
      <c r="D22" s="27" t="s">
        <v>333</v>
      </c>
      <c r="E22" s="28">
        <v>2</v>
      </c>
      <c r="F22" s="28" t="s">
        <v>156</v>
      </c>
      <c r="G22" s="28" t="s">
        <v>334</v>
      </c>
      <c r="H22" s="24"/>
      <c r="I22" s="28"/>
      <c r="J22" s="29">
        <f t="shared" si="0"/>
        <v>2</v>
      </c>
      <c r="K22" s="1"/>
      <c r="L22" s="1" t="s">
        <v>335</v>
      </c>
    </row>
    <row r="23" spans="1:12" ht="40.950000000000003" customHeight="1">
      <c r="A23" s="26" t="s">
        <v>320</v>
      </c>
      <c r="B23" s="27" t="s">
        <v>321</v>
      </c>
      <c r="C23" s="27" t="s">
        <v>336</v>
      </c>
      <c r="D23" s="27" t="s">
        <v>337</v>
      </c>
      <c r="E23" s="28">
        <v>2</v>
      </c>
      <c r="F23" s="28" t="s">
        <v>141</v>
      </c>
      <c r="G23" s="28" t="s">
        <v>301</v>
      </c>
      <c r="H23" s="24"/>
      <c r="I23" s="28"/>
      <c r="J23" s="29">
        <f t="shared" si="0"/>
        <v>2</v>
      </c>
      <c r="K23" s="1"/>
      <c r="L23" s="1" t="s">
        <v>338</v>
      </c>
    </row>
    <row r="24" spans="1:12" ht="40.950000000000003" customHeight="1">
      <c r="A24" s="21" t="s">
        <v>339</v>
      </c>
      <c r="B24" s="22" t="s">
        <v>340</v>
      </c>
      <c r="C24" s="22" t="s">
        <v>341</v>
      </c>
      <c r="D24" s="22" t="s">
        <v>342</v>
      </c>
      <c r="E24" s="23">
        <v>6</v>
      </c>
      <c r="F24" s="23" t="s">
        <v>141</v>
      </c>
      <c r="G24" s="23" t="s">
        <v>301</v>
      </c>
      <c r="H24" s="24"/>
      <c r="I24" s="23"/>
      <c r="J24" s="25">
        <f t="shared" si="0"/>
        <v>6</v>
      </c>
      <c r="K24" s="1"/>
      <c r="L24" s="1" t="s">
        <v>343</v>
      </c>
    </row>
    <row r="25" spans="1:12" ht="27.3" customHeight="1">
      <c r="A25" s="21" t="s">
        <v>339</v>
      </c>
      <c r="B25" s="22" t="s">
        <v>340</v>
      </c>
      <c r="C25" s="22" t="s">
        <v>344</v>
      </c>
      <c r="D25" s="22" t="s">
        <v>345</v>
      </c>
      <c r="E25" s="23">
        <v>4</v>
      </c>
      <c r="F25" s="23" t="s">
        <v>156</v>
      </c>
      <c r="G25" s="23" t="s">
        <v>301</v>
      </c>
      <c r="H25" s="24"/>
      <c r="I25" s="23"/>
      <c r="J25" s="25">
        <f t="shared" si="0"/>
        <v>4</v>
      </c>
      <c r="K25" s="1"/>
      <c r="L25" s="1" t="s">
        <v>346</v>
      </c>
    </row>
    <row r="26" spans="1:12" ht="40.950000000000003" customHeight="1">
      <c r="A26" s="21" t="s">
        <v>339</v>
      </c>
      <c r="B26" s="22" t="s">
        <v>340</v>
      </c>
      <c r="C26" s="22" t="s">
        <v>347</v>
      </c>
      <c r="D26" s="22" t="s">
        <v>348</v>
      </c>
      <c r="E26" s="23">
        <v>5</v>
      </c>
      <c r="F26" s="23" t="s">
        <v>141</v>
      </c>
      <c r="G26" s="23" t="s">
        <v>301</v>
      </c>
      <c r="H26" s="24"/>
      <c r="I26" s="23"/>
      <c r="J26" s="25">
        <f t="shared" si="0"/>
        <v>5</v>
      </c>
      <c r="K26" s="1"/>
      <c r="L26" s="1" t="s">
        <v>349</v>
      </c>
    </row>
    <row r="27" spans="1:12" ht="40.950000000000003" customHeight="1">
      <c r="A27" s="21" t="s">
        <v>339</v>
      </c>
      <c r="B27" s="22" t="s">
        <v>340</v>
      </c>
      <c r="C27" s="22" t="s">
        <v>350</v>
      </c>
      <c r="D27" s="22" t="s">
        <v>351</v>
      </c>
      <c r="E27" s="23">
        <v>3</v>
      </c>
      <c r="F27" s="23" t="s">
        <v>156</v>
      </c>
      <c r="G27" s="23" t="s">
        <v>318</v>
      </c>
      <c r="H27" s="24"/>
      <c r="I27" s="23"/>
      <c r="J27" s="25">
        <f t="shared" si="0"/>
        <v>3</v>
      </c>
      <c r="K27" s="1"/>
      <c r="L27" s="1" t="s">
        <v>352</v>
      </c>
    </row>
    <row r="28" spans="1:12" ht="40.950000000000003" customHeight="1">
      <c r="A28" s="21" t="s">
        <v>339</v>
      </c>
      <c r="B28" s="22" t="s">
        <v>340</v>
      </c>
      <c r="C28" s="22" t="s">
        <v>353</v>
      </c>
      <c r="D28" s="22" t="s">
        <v>354</v>
      </c>
      <c r="E28" s="23">
        <v>2</v>
      </c>
      <c r="F28" s="23" t="s">
        <v>156</v>
      </c>
      <c r="G28" s="23" t="s">
        <v>301</v>
      </c>
      <c r="H28" s="24"/>
      <c r="I28" s="23"/>
      <c r="J28" s="25">
        <f t="shared" si="0"/>
        <v>2</v>
      </c>
      <c r="K28" s="1"/>
      <c r="L28" s="1" t="s">
        <v>355</v>
      </c>
    </row>
    <row r="29" spans="1:12" ht="40.950000000000003" customHeight="1">
      <c r="A29" s="26" t="s">
        <v>356</v>
      </c>
      <c r="B29" s="27" t="s">
        <v>357</v>
      </c>
      <c r="C29" s="27" t="s">
        <v>358</v>
      </c>
      <c r="D29" s="27" t="s">
        <v>359</v>
      </c>
      <c r="E29" s="28">
        <v>3</v>
      </c>
      <c r="F29" s="28" t="s">
        <v>141</v>
      </c>
      <c r="G29" s="28" t="s">
        <v>360</v>
      </c>
      <c r="H29" s="24"/>
      <c r="I29" s="28"/>
      <c r="J29" s="29">
        <f t="shared" si="0"/>
        <v>3</v>
      </c>
      <c r="K29" s="1"/>
      <c r="L29" s="1" t="s">
        <v>361</v>
      </c>
    </row>
    <row r="30" spans="1:12" ht="27.3" customHeight="1">
      <c r="A30" s="26" t="s">
        <v>356</v>
      </c>
      <c r="B30" s="27" t="s">
        <v>357</v>
      </c>
      <c r="C30" s="27" t="s">
        <v>362</v>
      </c>
      <c r="D30" s="27" t="s">
        <v>363</v>
      </c>
      <c r="E30" s="28">
        <v>3</v>
      </c>
      <c r="F30" s="28" t="s">
        <v>141</v>
      </c>
      <c r="G30" s="28" t="s">
        <v>364</v>
      </c>
      <c r="H30" s="24"/>
      <c r="I30" s="28"/>
      <c r="J30" s="29">
        <f t="shared" si="0"/>
        <v>3</v>
      </c>
      <c r="K30" s="1"/>
      <c r="L30" s="1" t="s">
        <v>365</v>
      </c>
    </row>
    <row r="31" spans="1:12" ht="40.950000000000003" customHeight="1">
      <c r="A31" s="26" t="s">
        <v>356</v>
      </c>
      <c r="B31" s="27" t="s">
        <v>357</v>
      </c>
      <c r="C31" s="27" t="s">
        <v>366</v>
      </c>
      <c r="D31" s="27" t="s">
        <v>367</v>
      </c>
      <c r="E31" s="28">
        <v>2</v>
      </c>
      <c r="F31" s="28" t="s">
        <v>141</v>
      </c>
      <c r="G31" s="28" t="s">
        <v>301</v>
      </c>
      <c r="H31" s="24"/>
      <c r="I31" s="28"/>
      <c r="J31" s="29">
        <f t="shared" si="0"/>
        <v>2</v>
      </c>
      <c r="K31" s="1"/>
      <c r="L31" s="1" t="s">
        <v>368</v>
      </c>
    </row>
    <row r="32" spans="1:12" ht="40.950000000000003" customHeight="1">
      <c r="A32" s="26" t="s">
        <v>356</v>
      </c>
      <c r="B32" s="27" t="s">
        <v>357</v>
      </c>
      <c r="C32" s="27" t="s">
        <v>369</v>
      </c>
      <c r="D32" s="27" t="s">
        <v>370</v>
      </c>
      <c r="E32" s="28">
        <v>2</v>
      </c>
      <c r="F32" s="28" t="s">
        <v>156</v>
      </c>
      <c r="G32" s="28" t="s">
        <v>301</v>
      </c>
      <c r="H32" s="24"/>
      <c r="I32" s="28"/>
      <c r="J32" s="29">
        <f t="shared" si="0"/>
        <v>2</v>
      </c>
      <c r="K32" s="1"/>
      <c r="L32" s="1" t="s">
        <v>371</v>
      </c>
    </row>
    <row r="33" spans="1:12" ht="40.950000000000003" customHeight="1">
      <c r="A33" s="21" t="s">
        <v>372</v>
      </c>
      <c r="B33" s="22" t="s">
        <v>373</v>
      </c>
      <c r="C33" s="22" t="s">
        <v>374</v>
      </c>
      <c r="D33" s="22" t="s">
        <v>375</v>
      </c>
      <c r="E33" s="23">
        <v>3</v>
      </c>
      <c r="F33" s="23" t="s">
        <v>156</v>
      </c>
      <c r="G33" s="23" t="s">
        <v>311</v>
      </c>
      <c r="H33" s="24"/>
      <c r="I33" s="23"/>
      <c r="J33" s="25">
        <f t="shared" si="0"/>
        <v>3</v>
      </c>
      <c r="K33" s="1"/>
      <c r="L33" s="1" t="s">
        <v>376</v>
      </c>
    </row>
    <row r="34" spans="1:12" ht="40.950000000000003" customHeight="1">
      <c r="A34" s="21" t="s">
        <v>372</v>
      </c>
      <c r="B34" s="22" t="s">
        <v>373</v>
      </c>
      <c r="C34" s="22" t="s">
        <v>377</v>
      </c>
      <c r="D34" s="22" t="s">
        <v>378</v>
      </c>
      <c r="E34" s="23">
        <v>3</v>
      </c>
      <c r="F34" s="23" t="s">
        <v>141</v>
      </c>
      <c r="G34" s="23" t="s">
        <v>301</v>
      </c>
      <c r="H34" s="24"/>
      <c r="I34" s="23"/>
      <c r="J34" s="25">
        <f t="shared" si="0"/>
        <v>3</v>
      </c>
      <c r="K34" s="1"/>
      <c r="L34" s="1" t="s">
        <v>379</v>
      </c>
    </row>
    <row r="35" spans="1:12" ht="40.950000000000003" customHeight="1">
      <c r="A35" s="21" t="s">
        <v>372</v>
      </c>
      <c r="B35" s="22" t="s">
        <v>373</v>
      </c>
      <c r="C35" s="22" t="s">
        <v>380</v>
      </c>
      <c r="D35" s="22" t="s">
        <v>381</v>
      </c>
      <c r="E35" s="23">
        <v>2</v>
      </c>
      <c r="F35" s="23" t="s">
        <v>141</v>
      </c>
      <c r="G35" s="23" t="s">
        <v>301</v>
      </c>
      <c r="H35" s="24"/>
      <c r="I35" s="23"/>
      <c r="J35" s="25">
        <f t="shared" si="0"/>
        <v>2</v>
      </c>
      <c r="K35" s="1"/>
      <c r="L35" s="1" t="s">
        <v>382</v>
      </c>
    </row>
    <row r="36" spans="1:12" ht="27.3" customHeight="1">
      <c r="A36" s="21" t="s">
        <v>372</v>
      </c>
      <c r="B36" s="22" t="s">
        <v>373</v>
      </c>
      <c r="C36" s="22" t="s">
        <v>383</v>
      </c>
      <c r="D36" s="22" t="s">
        <v>384</v>
      </c>
      <c r="E36" s="23">
        <v>3</v>
      </c>
      <c r="F36" s="23" t="s">
        <v>156</v>
      </c>
      <c r="G36" s="23" t="s">
        <v>301</v>
      </c>
      <c r="H36" s="24"/>
      <c r="I36" s="23"/>
      <c r="J36" s="25">
        <f t="shared" si="0"/>
        <v>3</v>
      </c>
      <c r="K36" s="1"/>
      <c r="L36" s="1" t="s">
        <v>385</v>
      </c>
    </row>
    <row r="37" spans="1:12" ht="40.950000000000003" customHeight="1">
      <c r="A37" s="21" t="s">
        <v>372</v>
      </c>
      <c r="B37" s="22" t="s">
        <v>373</v>
      </c>
      <c r="C37" s="22" t="s">
        <v>386</v>
      </c>
      <c r="D37" s="22" t="s">
        <v>387</v>
      </c>
      <c r="E37" s="23">
        <v>4</v>
      </c>
      <c r="F37" s="23" t="s">
        <v>156</v>
      </c>
      <c r="G37" s="23" t="s">
        <v>388</v>
      </c>
      <c r="H37" s="24"/>
      <c r="I37" s="23"/>
      <c r="J37" s="25">
        <f t="shared" si="0"/>
        <v>4</v>
      </c>
      <c r="K37" s="1"/>
      <c r="L37" s="1" t="s">
        <v>389</v>
      </c>
    </row>
    <row r="38" spans="1:12" ht="27.3" customHeight="1">
      <c r="A38" s="26" t="s">
        <v>390</v>
      </c>
      <c r="B38" s="27" t="s">
        <v>391</v>
      </c>
      <c r="C38" s="27" t="s">
        <v>392</v>
      </c>
      <c r="D38" s="27" t="s">
        <v>393</v>
      </c>
      <c r="E38" s="28">
        <v>3</v>
      </c>
      <c r="F38" s="28" t="s">
        <v>141</v>
      </c>
      <c r="G38" s="28" t="s">
        <v>301</v>
      </c>
      <c r="H38" s="24"/>
      <c r="I38" s="28"/>
      <c r="J38" s="29">
        <f t="shared" si="0"/>
        <v>3</v>
      </c>
      <c r="K38" s="1"/>
      <c r="L38" s="1" t="s">
        <v>394</v>
      </c>
    </row>
    <row r="39" spans="1:12" ht="40.950000000000003" customHeight="1">
      <c r="A39" s="26" t="s">
        <v>390</v>
      </c>
      <c r="B39" s="27" t="s">
        <v>391</v>
      </c>
      <c r="C39" s="27" t="s">
        <v>395</v>
      </c>
      <c r="D39" s="27" t="s">
        <v>396</v>
      </c>
      <c r="E39" s="28">
        <v>2</v>
      </c>
      <c r="F39" s="28" t="s">
        <v>156</v>
      </c>
      <c r="G39" s="28" t="s">
        <v>301</v>
      </c>
      <c r="H39" s="24"/>
      <c r="I39" s="28"/>
      <c r="J39" s="29">
        <f t="shared" si="0"/>
        <v>2</v>
      </c>
      <c r="K39" s="1"/>
      <c r="L39" s="1" t="s">
        <v>397</v>
      </c>
    </row>
    <row r="40" spans="1:12" ht="40.950000000000003" customHeight="1">
      <c r="A40" s="26" t="s">
        <v>390</v>
      </c>
      <c r="B40" s="27" t="s">
        <v>391</v>
      </c>
      <c r="C40" s="27" t="s">
        <v>398</v>
      </c>
      <c r="D40" s="27" t="s">
        <v>399</v>
      </c>
      <c r="E40" s="28">
        <v>2</v>
      </c>
      <c r="F40" s="28" t="s">
        <v>156</v>
      </c>
      <c r="G40" s="28" t="s">
        <v>301</v>
      </c>
      <c r="H40" s="24"/>
      <c r="I40" s="28"/>
      <c r="J40" s="29">
        <f t="shared" si="0"/>
        <v>2</v>
      </c>
      <c r="K40" s="1"/>
      <c r="L40" s="1" t="s">
        <v>400</v>
      </c>
    </row>
    <row r="41" spans="1:12" ht="27.3" customHeight="1">
      <c r="A41" s="26" t="s">
        <v>390</v>
      </c>
      <c r="B41" s="27" t="s">
        <v>391</v>
      </c>
      <c r="C41" s="27" t="s">
        <v>401</v>
      </c>
      <c r="D41" s="27" t="s">
        <v>402</v>
      </c>
      <c r="E41" s="28">
        <v>2</v>
      </c>
      <c r="F41" s="28" t="s">
        <v>156</v>
      </c>
      <c r="G41" s="28" t="s">
        <v>301</v>
      </c>
      <c r="H41" s="24"/>
      <c r="I41" s="28"/>
      <c r="J41" s="29">
        <f t="shared" si="0"/>
        <v>2</v>
      </c>
      <c r="K41" s="1"/>
      <c r="L41" s="1" t="s">
        <v>403</v>
      </c>
    </row>
    <row r="42" spans="1:12" ht="27.3" customHeight="1">
      <c r="A42" s="26" t="s">
        <v>390</v>
      </c>
      <c r="B42" s="27" t="s">
        <v>391</v>
      </c>
      <c r="C42" s="27" t="s">
        <v>404</v>
      </c>
      <c r="D42" s="27" t="s">
        <v>405</v>
      </c>
      <c r="E42" s="28">
        <v>1</v>
      </c>
      <c r="F42" s="28" t="s">
        <v>141</v>
      </c>
      <c r="G42" s="28" t="s">
        <v>301</v>
      </c>
      <c r="H42" s="24"/>
      <c r="I42" s="28"/>
      <c r="J42" s="29">
        <f t="shared" si="0"/>
        <v>1</v>
      </c>
      <c r="K42" s="1"/>
      <c r="L42" s="1" t="s">
        <v>406</v>
      </c>
    </row>
    <row r="43" spans="1:12" ht="40.950000000000003" customHeight="1">
      <c r="A43" s="21" t="s">
        <v>407</v>
      </c>
      <c r="B43" s="22" t="s">
        <v>408</v>
      </c>
      <c r="C43" s="22" t="s">
        <v>409</v>
      </c>
      <c r="D43" s="22" t="s">
        <v>410</v>
      </c>
      <c r="E43" s="23">
        <v>4</v>
      </c>
      <c r="F43" s="23" t="s">
        <v>141</v>
      </c>
      <c r="G43" s="23" t="s">
        <v>301</v>
      </c>
      <c r="H43" s="24"/>
      <c r="I43" s="23"/>
      <c r="J43" s="25">
        <f t="shared" si="0"/>
        <v>4</v>
      </c>
      <c r="K43" s="1"/>
      <c r="L43" s="1" t="s">
        <v>411</v>
      </c>
    </row>
    <row r="44" spans="1:12" ht="27.3" customHeight="1">
      <c r="A44" s="21" t="s">
        <v>407</v>
      </c>
      <c r="B44" s="22" t="s">
        <v>408</v>
      </c>
      <c r="C44" s="22" t="s">
        <v>412</v>
      </c>
      <c r="D44" s="22" t="s">
        <v>413</v>
      </c>
      <c r="E44" s="23">
        <v>3</v>
      </c>
      <c r="F44" s="23" t="s">
        <v>156</v>
      </c>
      <c r="G44" s="23" t="s">
        <v>301</v>
      </c>
      <c r="H44" s="24"/>
      <c r="I44" s="23"/>
      <c r="J44" s="25">
        <f t="shared" si="0"/>
        <v>3</v>
      </c>
      <c r="K44" s="1"/>
      <c r="L44" s="1" t="s">
        <v>414</v>
      </c>
    </row>
    <row r="45" spans="1:12" ht="40.950000000000003" customHeight="1">
      <c r="A45" s="35" t="s">
        <v>407</v>
      </c>
      <c r="B45" s="36" t="s">
        <v>408</v>
      </c>
      <c r="C45" s="36" t="s">
        <v>415</v>
      </c>
      <c r="D45" s="36" t="s">
        <v>416</v>
      </c>
      <c r="E45" s="37">
        <v>3</v>
      </c>
      <c r="F45" s="37" t="s">
        <v>156</v>
      </c>
      <c r="G45" s="37" t="s">
        <v>417</v>
      </c>
      <c r="H45" s="33"/>
      <c r="I45" s="37"/>
      <c r="J45" s="38">
        <f t="shared" si="0"/>
        <v>3</v>
      </c>
      <c r="K45" s="1"/>
      <c r="L45" s="1" t="s">
        <v>418</v>
      </c>
    </row>
    <row r="46" spans="1:12" ht="13.6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1"/>
      <c r="L46" s="1" t="s">
        <v>285</v>
      </c>
    </row>
    <row r="47" spans="1:12" ht="13.65" customHeight="1">
      <c r="A47" s="7" t="s">
        <v>286</v>
      </c>
      <c r="B47" s="7" t="s">
        <v>287</v>
      </c>
      <c r="C47" s="7" t="s">
        <v>288</v>
      </c>
      <c r="D47" s="7"/>
      <c r="E47" s="7"/>
      <c r="F47" s="7"/>
      <c r="G47" s="7"/>
      <c r="H47" s="7"/>
      <c r="I47" s="7"/>
      <c r="J47" s="7"/>
      <c r="K47" s="1"/>
      <c r="L47" s="1" t="s">
        <v>289</v>
      </c>
    </row>
    <row r="48" spans="1:12" ht="13.65" customHeight="1">
      <c r="A48" s="7" t="s">
        <v>290</v>
      </c>
      <c r="B48" s="7"/>
      <c r="C48" s="7">
        <f>SUM(E13:E45)</f>
        <v>100</v>
      </c>
      <c r="D48" s="7"/>
      <c r="E48" s="7"/>
      <c r="F48" s="7"/>
      <c r="G48" s="7"/>
      <c r="H48" s="7"/>
      <c r="I48" s="7"/>
      <c r="J48" s="7"/>
      <c r="K48" s="1"/>
      <c r="L48" s="1" t="s">
        <v>291</v>
      </c>
    </row>
    <row r="49" spans="1:12" ht="13.65" customHeight="1">
      <c r="A49" s="7" t="s">
        <v>292</v>
      </c>
      <c r="B49" s="7"/>
      <c r="C49" s="7">
        <f>SUM(H13:H45)</f>
        <v>0</v>
      </c>
      <c r="D49" s="7"/>
      <c r="E49" s="7"/>
      <c r="F49" s="7"/>
      <c r="G49" s="7"/>
      <c r="H49" s="7"/>
      <c r="I49" s="7"/>
      <c r="J49" s="7"/>
      <c r="K49" s="1"/>
      <c r="L49" s="1" t="s">
        <v>293</v>
      </c>
    </row>
    <row r="50" spans="1:12" ht="13.6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2" ht="13.6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2" ht="13.6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2" ht="13.6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2" ht="13.6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2" ht="13.6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2" ht="13.6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2" ht="13.6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2" ht="13.6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2" ht="13.6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2" ht="13.6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2" ht="13.6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2" ht="13.6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2" ht="13.6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2" ht="13.6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.6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.6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.6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.6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.6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.6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.6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.6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.6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.6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.6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.6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.6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.6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.6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.6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.6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.6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.6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.6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.6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.6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.6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.6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.6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.6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.6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.6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.6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.6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.6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.6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.6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.6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.6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.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3.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3.6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3.6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3.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3.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3.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3.6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3.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3.6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3.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3.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3.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3.6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3.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3.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3.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3.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3.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3.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3.6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3.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3.6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3.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3.6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3.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3.6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3.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3.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3.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3.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3.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3.6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3.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3.6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3.6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3.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3.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3.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3.6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3.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3.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3.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3.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3.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3.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3.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3.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3.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3.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3.6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3.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3.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3.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3.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3.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3.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3.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3.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3.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3.6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3.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3.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3.6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3.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3.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3.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3.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3.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3.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3.6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3.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3.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3.6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3.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3.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3.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3.6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3.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3.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3.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3.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3.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3.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3.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3.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3.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3.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3.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3.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3.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3.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3.6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3.6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3.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3.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3.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3.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3.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3.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3.6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3.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3.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3.6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3.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3.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3.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3.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3.6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3.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3.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3.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3.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3.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3.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3.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3.6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3.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3.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3.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3.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3.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3.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3.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3.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3.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3.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3.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3.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3.6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3.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3.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3.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3.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3.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3.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3.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3.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3.6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3.6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3.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3.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3.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3.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3.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3.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3.6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3.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3.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3.6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3.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</sheetData>
  <mergeCells count="2">
    <mergeCell ref="A1:J1"/>
    <mergeCell ref="A2:J2"/>
  </mergeCells>
  <conditionalFormatting sqref="F13:F45">
    <cfRule type="expression" dxfId="0" priority="2">
      <formula>F13="Yes"</formula>
    </cfRule>
  </conditionalFormatting>
  <conditionalFormatting sqref="H13:H4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H13:H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J49">
    <cfRule type="dataBar" priority="4">
      <dataBar>
        <cfvo type="min"/>
        <cfvo type="max"/>
        <color rgb="FF5B9BD5"/>
      </dataBar>
    </cfRule>
  </conditionalFormatting>
  <dataValidations count="1">
    <dataValidation type="list" sqref="H13:H49" xr:uid="{00000000-0002-0000-0300-000002000000}">
      <formula1>"0,1,2,3,4,5,6,7,8,9,10"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Categories!$E$5:$E$10</xm:f>
          </x14:formula1>
          <xm:sqref>B6</xm:sqref>
        </x14:dataValidation>
        <x14:dataValidation type="list" xr:uid="{00000000-0002-0000-0300-000001000000}">
          <x14:formula1>
            <xm:f>'Solution Types'!$B$3:$B$20</xm:f>
          </x14:formula1>
          <xm:sqref>B7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sqref="A1:F1"/>
    </sheetView>
  </sheetViews>
  <sheetFormatPr defaultRowHeight="13.8"/>
  <cols>
    <col min="1" max="1" width="33" customWidth="1"/>
    <col min="2" max="2" width="27.59765625" customWidth="1"/>
    <col min="3" max="3" width="49.3984375" customWidth="1"/>
    <col min="4" max="4" width="18.59765625" customWidth="1"/>
    <col min="5" max="5" width="21.69921875" customWidth="1"/>
    <col min="6" max="6" width="22.3984375" customWidth="1"/>
  </cols>
  <sheetData>
    <row r="1" spans="1:6" ht="16.8">
      <c r="A1" s="76" t="s">
        <v>419</v>
      </c>
      <c r="B1" s="76"/>
      <c r="C1" s="76"/>
      <c r="D1" s="76"/>
      <c r="E1" s="76"/>
      <c r="F1" s="76"/>
    </row>
    <row r="2" spans="1:6">
      <c r="A2" s="51" t="s">
        <v>115</v>
      </c>
      <c r="B2" s="51" t="s">
        <v>420</v>
      </c>
      <c r="C2" s="51" t="s">
        <v>421</v>
      </c>
      <c r="D2" s="51" t="s">
        <v>422</v>
      </c>
      <c r="E2" s="51" t="s">
        <v>423</v>
      </c>
      <c r="F2" s="51" t="s">
        <v>136</v>
      </c>
    </row>
    <row r="3" spans="1:6">
      <c r="A3" s="1" t="s">
        <v>58</v>
      </c>
      <c r="B3" s="1" t="s">
        <v>424</v>
      </c>
      <c r="C3" s="1" t="s">
        <v>425</v>
      </c>
      <c r="D3" s="1" t="s">
        <v>11</v>
      </c>
      <c r="E3" s="1" t="s">
        <v>426</v>
      </c>
      <c r="F3" s="1" t="s">
        <v>427</v>
      </c>
    </row>
    <row r="4" spans="1:6">
      <c r="A4" s="1" t="s">
        <v>58</v>
      </c>
      <c r="B4" s="1" t="s">
        <v>428</v>
      </c>
      <c r="C4" s="1" t="s">
        <v>429</v>
      </c>
      <c r="D4" s="1" t="s">
        <v>11</v>
      </c>
      <c r="E4" s="1" t="s">
        <v>428</v>
      </c>
      <c r="F4" s="1" t="s">
        <v>430</v>
      </c>
    </row>
    <row r="5" spans="1:6">
      <c r="A5" s="1" t="s">
        <v>64</v>
      </c>
      <c r="B5" s="1" t="s">
        <v>431</v>
      </c>
      <c r="C5" s="1" t="s">
        <v>432</v>
      </c>
      <c r="D5" s="1" t="s">
        <v>11</v>
      </c>
      <c r="E5" s="1" t="s">
        <v>433</v>
      </c>
      <c r="F5" s="1" t="s">
        <v>434</v>
      </c>
    </row>
    <row r="6" spans="1:6">
      <c r="A6" s="1" t="s">
        <v>64</v>
      </c>
      <c r="B6" s="1" t="s">
        <v>435</v>
      </c>
      <c r="C6" s="1" t="s">
        <v>436</v>
      </c>
      <c r="D6" s="1" t="s">
        <v>11</v>
      </c>
      <c r="E6" s="1" t="s">
        <v>437</v>
      </c>
      <c r="F6" s="1" t="s">
        <v>438</v>
      </c>
    </row>
    <row r="7" spans="1:6">
      <c r="A7" s="1" t="s">
        <v>70</v>
      </c>
      <c r="B7" s="1" t="s">
        <v>439</v>
      </c>
      <c r="C7" s="1" t="s">
        <v>440</v>
      </c>
      <c r="D7" s="1" t="s">
        <v>11</v>
      </c>
      <c r="E7" s="1" t="s">
        <v>441</v>
      </c>
      <c r="F7" s="1" t="s">
        <v>442</v>
      </c>
    </row>
    <row r="8" spans="1:6">
      <c r="A8" s="1" t="s">
        <v>76</v>
      </c>
      <c r="B8" s="1" t="s">
        <v>443</v>
      </c>
      <c r="C8" s="1" t="s">
        <v>444</v>
      </c>
      <c r="D8" s="1" t="s">
        <v>11</v>
      </c>
      <c r="E8" s="1" t="s">
        <v>445</v>
      </c>
      <c r="F8" s="1" t="s">
        <v>446</v>
      </c>
    </row>
    <row r="9" spans="1:6">
      <c r="A9" s="1" t="s">
        <v>82</v>
      </c>
      <c r="B9" s="1" t="s">
        <v>447</v>
      </c>
      <c r="C9" s="1" t="s">
        <v>448</v>
      </c>
      <c r="D9" s="1" t="s">
        <v>11</v>
      </c>
      <c r="E9" s="1" t="s">
        <v>82</v>
      </c>
      <c r="F9" s="1" t="s">
        <v>449</v>
      </c>
    </row>
    <row r="10" spans="1:6">
      <c r="A10" s="1" t="s">
        <v>87</v>
      </c>
      <c r="B10" s="1" t="s">
        <v>450</v>
      </c>
      <c r="C10" s="1" t="s">
        <v>451</v>
      </c>
      <c r="D10" s="1" t="s">
        <v>11</v>
      </c>
      <c r="E10" s="1" t="s">
        <v>452</v>
      </c>
      <c r="F10" s="1" t="s">
        <v>453</v>
      </c>
    </row>
    <row r="11" spans="1:6">
      <c r="A11" s="1" t="s">
        <v>93</v>
      </c>
      <c r="B11" s="1" t="s">
        <v>454</v>
      </c>
      <c r="C11" s="1" t="s">
        <v>455</v>
      </c>
      <c r="D11" s="1" t="s">
        <v>11</v>
      </c>
      <c r="E11" s="1" t="s">
        <v>456</v>
      </c>
      <c r="F11" s="1" t="s">
        <v>457</v>
      </c>
    </row>
    <row r="12" spans="1:6">
      <c r="A12" s="1" t="s">
        <v>95</v>
      </c>
      <c r="B12" s="1" t="s">
        <v>458</v>
      </c>
      <c r="C12" s="1" t="s">
        <v>459</v>
      </c>
      <c r="D12" s="1" t="s">
        <v>11</v>
      </c>
      <c r="E12" s="1" t="s">
        <v>458</v>
      </c>
      <c r="F12" s="1" t="s">
        <v>460</v>
      </c>
    </row>
    <row r="13" spans="1:6">
      <c r="A13" s="1" t="s">
        <v>97</v>
      </c>
      <c r="B13" s="1" t="s">
        <v>461</v>
      </c>
      <c r="C13" s="1" t="s">
        <v>462</v>
      </c>
      <c r="D13" s="1" t="s">
        <v>11</v>
      </c>
      <c r="E13" s="1" t="s">
        <v>463</v>
      </c>
      <c r="F13" s="1" t="s">
        <v>464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"/>
    </sheetView>
  </sheetViews>
  <sheetFormatPr defaultRowHeight="13.8"/>
  <cols>
    <col min="1" max="1" width="49.59765625" customWidth="1"/>
    <col min="2" max="2" width="33.59765625" customWidth="1"/>
    <col min="3" max="3" width="53.59765625" customWidth="1"/>
    <col min="4" max="4" width="19.09765625" customWidth="1"/>
    <col min="5" max="5" width="28.296875" customWidth="1"/>
    <col min="6" max="6" width="29.3984375" customWidth="1"/>
  </cols>
  <sheetData>
    <row r="1" spans="1:6" ht="16.8">
      <c r="A1" s="77" t="s">
        <v>465</v>
      </c>
      <c r="B1" s="77"/>
      <c r="C1" s="77"/>
      <c r="D1" s="77"/>
      <c r="E1" s="77"/>
      <c r="F1" s="77"/>
    </row>
    <row r="2" spans="1:6">
      <c r="A2" s="52" t="s">
        <v>115</v>
      </c>
      <c r="B2" s="52" t="s">
        <v>420</v>
      </c>
      <c r="C2" s="52" t="s">
        <v>421</v>
      </c>
      <c r="D2" s="52" t="s">
        <v>422</v>
      </c>
      <c r="E2" s="52" t="s">
        <v>423</v>
      </c>
      <c r="F2" s="52" t="s">
        <v>136</v>
      </c>
    </row>
    <row r="3" spans="1:6">
      <c r="A3" s="1" t="s">
        <v>61</v>
      </c>
      <c r="B3" s="1" t="s">
        <v>466</v>
      </c>
      <c r="C3" s="1" t="s">
        <v>467</v>
      </c>
      <c r="D3" s="1" t="s">
        <v>14</v>
      </c>
      <c r="E3" s="1" t="s">
        <v>468</v>
      </c>
      <c r="F3" s="1" t="s">
        <v>469</v>
      </c>
    </row>
    <row r="4" spans="1:6">
      <c r="A4" s="1" t="s">
        <v>61</v>
      </c>
      <c r="B4" s="1" t="s">
        <v>470</v>
      </c>
      <c r="C4" s="1" t="s">
        <v>471</v>
      </c>
      <c r="D4" s="1" t="s">
        <v>14</v>
      </c>
      <c r="E4" s="1" t="s">
        <v>472</v>
      </c>
      <c r="F4" s="1" t="s">
        <v>473</v>
      </c>
    </row>
    <row r="5" spans="1:6">
      <c r="A5" s="1" t="s">
        <v>67</v>
      </c>
      <c r="B5" s="1" t="s">
        <v>67</v>
      </c>
      <c r="C5" s="1" t="s">
        <v>474</v>
      </c>
      <c r="D5" s="1" t="s">
        <v>14</v>
      </c>
      <c r="E5" s="1" t="s">
        <v>67</v>
      </c>
      <c r="F5" s="1" t="s">
        <v>475</v>
      </c>
    </row>
    <row r="6" spans="1:6">
      <c r="A6" s="1" t="s">
        <v>73</v>
      </c>
      <c r="B6" s="1" t="s">
        <v>73</v>
      </c>
      <c r="C6" s="1" t="s">
        <v>476</v>
      </c>
      <c r="D6" s="1" t="s">
        <v>14</v>
      </c>
      <c r="E6" s="1" t="s">
        <v>73</v>
      </c>
      <c r="F6" s="1" t="s">
        <v>477</v>
      </c>
    </row>
    <row r="7" spans="1:6">
      <c r="A7" s="1" t="s">
        <v>79</v>
      </c>
      <c r="B7" s="1" t="s">
        <v>478</v>
      </c>
      <c r="C7" s="1" t="s">
        <v>479</v>
      </c>
      <c r="D7" s="1" t="s">
        <v>14</v>
      </c>
      <c r="E7" s="1" t="s">
        <v>480</v>
      </c>
      <c r="F7" s="1" t="s">
        <v>481</v>
      </c>
    </row>
    <row r="8" spans="1:6">
      <c r="A8" s="1" t="s">
        <v>84</v>
      </c>
      <c r="B8" s="1" t="s">
        <v>482</v>
      </c>
      <c r="C8" s="1" t="s">
        <v>483</v>
      </c>
      <c r="D8" s="1" t="s">
        <v>14</v>
      </c>
      <c r="E8" s="1" t="s">
        <v>482</v>
      </c>
      <c r="F8" s="1" t="s">
        <v>484</v>
      </c>
    </row>
    <row r="9" spans="1:6">
      <c r="A9" s="1" t="s">
        <v>84</v>
      </c>
      <c r="B9" s="1" t="s">
        <v>485</v>
      </c>
      <c r="C9" s="1" t="s">
        <v>486</v>
      </c>
      <c r="D9" s="1" t="s">
        <v>14</v>
      </c>
      <c r="E9" s="1" t="s">
        <v>487</v>
      </c>
      <c r="F9" s="1" t="s">
        <v>488</v>
      </c>
    </row>
    <row r="10" spans="1:6">
      <c r="A10" s="1" t="s">
        <v>90</v>
      </c>
      <c r="B10" s="1" t="s">
        <v>489</v>
      </c>
      <c r="C10" s="1" t="s">
        <v>490</v>
      </c>
      <c r="D10" s="1" t="s">
        <v>14</v>
      </c>
      <c r="E10" s="1" t="s">
        <v>491</v>
      </c>
      <c r="F10" s="1" t="s">
        <v>492</v>
      </c>
    </row>
    <row r="11" spans="1:6">
      <c r="A11" s="1" t="s">
        <v>90</v>
      </c>
      <c r="B11" s="1" t="s">
        <v>493</v>
      </c>
      <c r="C11" s="1" t="s">
        <v>494</v>
      </c>
      <c r="D11" s="1" t="s">
        <v>14</v>
      </c>
      <c r="E11" s="1" t="s">
        <v>495</v>
      </c>
      <c r="F11" s="1" t="s">
        <v>496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F1" sqref="F1"/>
    </sheetView>
  </sheetViews>
  <sheetFormatPr defaultRowHeight="13.8"/>
  <cols>
    <col min="1" max="1" width="37.59765625" customWidth="1"/>
    <col min="2" max="2" width="24.296875" customWidth="1"/>
    <col min="3" max="3" width="19.3984375" customWidth="1"/>
    <col min="4" max="4" width="8.69921875" customWidth="1"/>
    <col min="5" max="5" width="39.296875" customWidth="1"/>
  </cols>
  <sheetData>
    <row r="1" spans="1:5" ht="16.8">
      <c r="A1" s="78" t="s">
        <v>497</v>
      </c>
      <c r="B1" s="78"/>
      <c r="C1" s="78"/>
      <c r="D1" s="78"/>
      <c r="E1" s="78"/>
    </row>
    <row r="2" spans="1:5">
      <c r="A2" s="53" t="s">
        <v>498</v>
      </c>
      <c r="B2" s="53" t="s">
        <v>499</v>
      </c>
      <c r="C2" s="53" t="s">
        <v>136</v>
      </c>
      <c r="D2" s="53" t="s">
        <v>500</v>
      </c>
      <c r="E2" s="53" t="s">
        <v>4</v>
      </c>
    </row>
    <row r="3" spans="1:5">
      <c r="A3" s="1" t="s">
        <v>501</v>
      </c>
      <c r="B3" s="1" t="s">
        <v>110</v>
      </c>
      <c r="C3" s="1" t="s">
        <v>502</v>
      </c>
      <c r="D3" s="1" t="s">
        <v>503</v>
      </c>
      <c r="E3" s="1" t="s">
        <v>504</v>
      </c>
    </row>
    <row r="4" spans="1:5">
      <c r="A4" s="1" t="s">
        <v>501</v>
      </c>
      <c r="B4" s="1" t="s">
        <v>112</v>
      </c>
      <c r="C4" s="1" t="s">
        <v>505</v>
      </c>
      <c r="D4" s="1" t="s">
        <v>503</v>
      </c>
      <c r="E4" s="1" t="s">
        <v>506</v>
      </c>
    </row>
    <row r="5" spans="1:5">
      <c r="A5" s="1" t="s">
        <v>501</v>
      </c>
      <c r="B5" s="1" t="s">
        <v>115</v>
      </c>
      <c r="C5" s="1" t="s">
        <v>507</v>
      </c>
      <c r="D5" s="1" t="s">
        <v>503</v>
      </c>
      <c r="E5" s="1" t="s">
        <v>508</v>
      </c>
    </row>
    <row r="6" spans="1:5">
      <c r="A6" s="1" t="s">
        <v>501</v>
      </c>
      <c r="B6" s="1" t="s">
        <v>117</v>
      </c>
      <c r="C6" s="1" t="s">
        <v>509</v>
      </c>
      <c r="D6" s="1" t="s">
        <v>503</v>
      </c>
      <c r="E6" s="1" t="s">
        <v>510</v>
      </c>
    </row>
    <row r="7" spans="1:5">
      <c r="A7" s="1" t="s">
        <v>501</v>
      </c>
      <c r="B7" s="1" t="s">
        <v>119</v>
      </c>
      <c r="C7" s="1" t="s">
        <v>511</v>
      </c>
      <c r="D7" s="1" t="s">
        <v>503</v>
      </c>
      <c r="E7" s="1" t="s">
        <v>512</v>
      </c>
    </row>
    <row r="8" spans="1:5">
      <c r="A8" s="1" t="s">
        <v>501</v>
      </c>
      <c r="B8" s="1" t="s">
        <v>121</v>
      </c>
      <c r="C8" s="1" t="s">
        <v>513</v>
      </c>
      <c r="D8" s="1" t="s">
        <v>514</v>
      </c>
      <c r="E8" s="1" t="s">
        <v>515</v>
      </c>
    </row>
    <row r="9" spans="1:5">
      <c r="A9" s="1" t="s">
        <v>501</v>
      </c>
      <c r="B9" s="1" t="s">
        <v>123</v>
      </c>
      <c r="C9" s="1" t="s">
        <v>516</v>
      </c>
      <c r="D9" s="1" t="s">
        <v>503</v>
      </c>
      <c r="E9" s="1" t="s">
        <v>517</v>
      </c>
    </row>
    <row r="10" spans="1:5">
      <c r="A10" s="1" t="s">
        <v>518</v>
      </c>
      <c r="B10" s="1" t="s">
        <v>126</v>
      </c>
      <c r="C10" s="1" t="s">
        <v>519</v>
      </c>
      <c r="D10" s="1" t="s">
        <v>503</v>
      </c>
      <c r="E10" s="1" t="s">
        <v>520</v>
      </c>
    </row>
    <row r="11" spans="1:5">
      <c r="A11" s="1" t="s">
        <v>518</v>
      </c>
      <c r="B11" s="1" t="s">
        <v>127</v>
      </c>
      <c r="C11" s="1" t="s">
        <v>521</v>
      </c>
      <c r="D11" s="1" t="s">
        <v>503</v>
      </c>
      <c r="E11" s="1" t="s">
        <v>522</v>
      </c>
    </row>
    <row r="12" spans="1:5">
      <c r="A12" s="1" t="s">
        <v>518</v>
      </c>
      <c r="B12" s="1" t="s">
        <v>128</v>
      </c>
      <c r="C12" s="1" t="s">
        <v>523</v>
      </c>
      <c r="D12" s="1" t="s">
        <v>503</v>
      </c>
      <c r="E12" s="1" t="s">
        <v>524</v>
      </c>
    </row>
    <row r="13" spans="1:5">
      <c r="A13" s="1" t="s">
        <v>518</v>
      </c>
      <c r="B13" s="1" t="s">
        <v>130</v>
      </c>
      <c r="C13" s="1" t="s">
        <v>525</v>
      </c>
      <c r="D13" s="1" t="s">
        <v>526</v>
      </c>
      <c r="E13" s="1" t="s">
        <v>527</v>
      </c>
    </row>
    <row r="14" spans="1:5">
      <c r="A14" s="1" t="s">
        <v>518</v>
      </c>
      <c r="B14" s="1" t="s">
        <v>528</v>
      </c>
      <c r="C14" s="1" t="s">
        <v>529</v>
      </c>
      <c r="D14" s="1" t="s">
        <v>530</v>
      </c>
      <c r="E14" s="1" t="s">
        <v>531</v>
      </c>
    </row>
    <row r="15" spans="1:5">
      <c r="A15" s="1" t="s">
        <v>518</v>
      </c>
      <c r="B15" s="1" t="s">
        <v>132</v>
      </c>
      <c r="C15" s="1" t="s">
        <v>532</v>
      </c>
      <c r="D15" s="1" t="s">
        <v>503</v>
      </c>
      <c r="E15" s="1" t="s">
        <v>533</v>
      </c>
    </row>
    <row r="16" spans="1:5">
      <c r="A16" s="1" t="s">
        <v>518</v>
      </c>
      <c r="B16" s="1" t="s">
        <v>116</v>
      </c>
      <c r="C16" s="1" t="s">
        <v>534</v>
      </c>
      <c r="D16" s="1" t="s">
        <v>526</v>
      </c>
      <c r="E16" s="1" t="s">
        <v>535</v>
      </c>
    </row>
    <row r="17" spans="1:5">
      <c r="A17" s="1" t="s">
        <v>518</v>
      </c>
      <c r="B17" s="1" t="s">
        <v>133</v>
      </c>
      <c r="C17" s="1" t="s">
        <v>536</v>
      </c>
      <c r="D17" s="1" t="s">
        <v>503</v>
      </c>
      <c r="E17" s="1" t="s">
        <v>537</v>
      </c>
    </row>
    <row r="18" spans="1:5">
      <c r="A18" s="1" t="s">
        <v>518</v>
      </c>
      <c r="B18" s="1" t="s">
        <v>135</v>
      </c>
      <c r="C18" s="1" t="s">
        <v>538</v>
      </c>
      <c r="D18" s="1" t="s">
        <v>503</v>
      </c>
      <c r="E18" s="1" t="s">
        <v>539</v>
      </c>
    </row>
    <row r="19" spans="1:5">
      <c r="A19" s="1" t="s">
        <v>111</v>
      </c>
      <c r="B19" s="1" t="s">
        <v>122</v>
      </c>
      <c r="C19" s="1" t="s">
        <v>540</v>
      </c>
      <c r="D19" s="1" t="s">
        <v>503</v>
      </c>
      <c r="E19" s="1" t="s">
        <v>541</v>
      </c>
    </row>
    <row r="20" spans="1:5">
      <c r="A20" s="1" t="s">
        <v>111</v>
      </c>
      <c r="B20" s="1" t="s">
        <v>542</v>
      </c>
      <c r="C20" s="1" t="s">
        <v>543</v>
      </c>
      <c r="D20" s="1" t="s">
        <v>526</v>
      </c>
      <c r="E20" s="1" t="s">
        <v>544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Categories</vt:lpstr>
      <vt:lpstr>Product Checklist</vt:lpstr>
      <vt:lpstr>Solution Checklist</vt:lpstr>
      <vt:lpstr>Product Types</vt:lpstr>
      <vt:lpstr>Solution Types</vt:lpstr>
      <vt:lpstr>JSON Export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Dhruuv Naik</dc:creator>
  <cp:lastModifiedBy>Dhruuv Naik</cp:lastModifiedBy>
  <dcterms:created xsi:type="dcterms:W3CDTF">2026-03-22T05:12:31Z</dcterms:created>
  <dcterms:modified xsi:type="dcterms:W3CDTF">2026-03-22T16:35:27Z</dcterms:modified>
</cp:coreProperties>
</file>